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filterPrivacy="1"/>
  <xr:revisionPtr revIDLastSave="0" documentId="8_{042824C4-28D1-4503-BE59-3E7E6AFAC310}" xr6:coauthVersionLast="36" xr6:coauthVersionMax="36" xr10:uidLastSave="{00000000-0000-0000-0000-000000000000}"/>
  <bookViews>
    <workbookView xWindow="8445" yWindow="45" windowWidth="13440" windowHeight="12240" xr2:uid="{00000000-000D-0000-FFFF-FFFF00000000}"/>
  </bookViews>
  <sheets>
    <sheet name="Price Calculator (Detailed) Dec" sheetId="1" r:id="rId1"/>
    <sheet name="Price Calculator (Simplified) 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7" i="1" l="1"/>
  <c r="F107" i="1"/>
  <c r="F45" i="1"/>
  <c r="H45" i="1"/>
  <c r="F12" i="1"/>
  <c r="H12" i="1"/>
  <c r="H106" i="1"/>
  <c r="F106" i="1"/>
</calcChain>
</file>

<file path=xl/sharedStrings.xml><?xml version="1.0" encoding="utf-8"?>
<sst xmlns="http://schemas.openxmlformats.org/spreadsheetml/2006/main" count="626" uniqueCount="147">
  <si>
    <t>DIMERC</t>
  </si>
  <si>
    <t>Service</t>
  </si>
  <si>
    <t>Region</t>
  </si>
  <si>
    <t>AZ</t>
  </si>
  <si>
    <t>Billing Mode</t>
  </si>
  <si>
    <t>Purchase Amount</t>
  </si>
  <si>
    <t>Original Price (USD)</t>
  </si>
  <si>
    <t>Discount Amount (USD)</t>
  </si>
  <si>
    <t>Discounted Price (USD)</t>
  </si>
  <si>
    <t>Elastic Cloud Server 1</t>
  </si>
  <si>
    <t>LA-Santiago</t>
  </si>
  <si>
    <t xml:space="preserve">General AZ </t>
  </si>
  <si>
    <t>Pay-per-use</t>
  </si>
  <si>
    <t>730 hours,1 ECS</t>
  </si>
  <si>
    <t xml:space="preserve">  Type</t>
  </si>
  <si>
    <t>x86 | General computing | s3.2xlarge.2 | 8 vCPUs | 16GB</t>
  </si>
  <si>
    <t>ProductId: 00301-102146-0--0</t>
  </si>
  <si>
    <t>730 hours,*1</t>
  </si>
  <si>
    <t xml:space="preserve">  Image</t>
  </si>
  <si>
    <t>CentOS | CentOS 7.9 64bit</t>
  </si>
  <si>
    <t xml:space="preserve">  System Disk</t>
  </si>
  <si>
    <t>General Purpose SSD | 1000GB</t>
  </si>
  <si>
    <t>ProductId: OFFI479638699187482626</t>
  </si>
  <si>
    <t>Elastic Cloud Server 2</t>
  </si>
  <si>
    <t>x86 | Memory-optimized | m3.6xlarge.8 | 24 vCPUs | 192GB</t>
  </si>
  <si>
    <t>ProductId: 00301-131046-0--0</t>
  </si>
  <si>
    <t>General Purpose SSD | 80GB</t>
  </si>
  <si>
    <t xml:space="preserve">  Data Disk</t>
  </si>
  <si>
    <t>General Purpose SSD | 3520GB</t>
  </si>
  <si>
    <t>Elastic Cloud Server 3</t>
  </si>
  <si>
    <t>x86 | General computing | s3.2xlarge.4 | 8 vCPUs | 32GB</t>
  </si>
  <si>
    <t>ProductId: 00301-102141-0--0</t>
  </si>
  <si>
    <t>AlmaLinux | AlmaLinux 9.0 64bit</t>
  </si>
  <si>
    <t>General Purpose SSD | 3420GB</t>
  </si>
  <si>
    <t>Elastic Cloud Server 4</t>
  </si>
  <si>
    <t>x86 | General computing-plus | c7n.12xlarge.2 | 48 vCPUs | 96GB</t>
  </si>
  <si>
    <t>ProductId: OFFI987904729720774664</t>
  </si>
  <si>
    <t>Debian | Debian 8.8.0 64bit</t>
  </si>
  <si>
    <t>Elastic Cloud Server 5</t>
  </si>
  <si>
    <t>x86 | General computing-plus | c7n.16xlarge.2 | 64 vCPUs | 128GB</t>
  </si>
  <si>
    <t>ProductId: OFFI987904729586556928</t>
  </si>
  <si>
    <t>General Purpose SSD | 450GB</t>
  </si>
  <si>
    <t>Elastic Cloud Server 6</t>
  </si>
  <si>
    <t>x86 | General computing | x1.12u.16g | 12 vCPUs | 16GB</t>
  </si>
  <si>
    <t>ProductId: OFFI1052842094981636101</t>
  </si>
  <si>
    <t>General Purpose SSD | 210GB</t>
  </si>
  <si>
    <t>Elastic Cloud Server 7</t>
  </si>
  <si>
    <t>x86 | General computing | s3.large.2 | 2 vCPUs | 4GB</t>
  </si>
  <si>
    <t>ProductId: 00301-102148-0--0</t>
  </si>
  <si>
    <t>Elastic Cloud Server 8</t>
  </si>
  <si>
    <t>x86 | General computing | x1.4u.2g | 4 vCPUs | 2GB</t>
  </si>
  <si>
    <t>ProductId: OFFI1052842094839029764</t>
  </si>
  <si>
    <t>General Purpose SSD | 212GB</t>
  </si>
  <si>
    <t>Elastic Cloud Server 9</t>
  </si>
  <si>
    <t>x86 | General computing | x1.6u.2g | 6 vCPUs | 2GB</t>
  </si>
  <si>
    <t>ProductId: OFFI1052842094788698124</t>
  </si>
  <si>
    <t>General Purpose SSD | 112GB</t>
  </si>
  <si>
    <t>Elastic Cloud Server 11</t>
  </si>
  <si>
    <t>x86 | General computing | x1.6u.20g | 6 vCPUs | 20GB</t>
  </si>
  <si>
    <t>ProductId: OFFI1052842094486708236</t>
  </si>
  <si>
    <t>General Purpose SSD | 110GB</t>
  </si>
  <si>
    <t>Elastic Cloud Server 12</t>
  </si>
  <si>
    <t>General Purpose SSD | 50GB</t>
  </si>
  <si>
    <t>Elastic Cloud Server 13</t>
  </si>
  <si>
    <t>x86 | General computing | x1.2u.6g | 2 vCPUs | 6GB</t>
  </si>
  <si>
    <t>ProductId: OFFI1052842095103270913</t>
  </si>
  <si>
    <t>General Purpose SSD | 60GB</t>
  </si>
  <si>
    <t>Elastic Cloud Server 14</t>
  </si>
  <si>
    <t>x86 | General computing | x1.4u.4g | 4 vCPUs | 4GB</t>
  </si>
  <si>
    <t>ProductId: OFFI1052842094532845569</t>
  </si>
  <si>
    <t>Elastic Cloud Server 15</t>
  </si>
  <si>
    <t>x86 | General computing | x1.4u.8g | 4 vCPUs | 8GB</t>
  </si>
  <si>
    <t>ProductId: OFFI1052842094390239238</t>
  </si>
  <si>
    <t>General Purpose SSD | 90GB</t>
  </si>
  <si>
    <t>Elastic Cloud Server 16</t>
  </si>
  <si>
    <t>General Purpose SSD | 100GB</t>
  </si>
  <si>
    <t>Elastic Cloud Server 17</t>
  </si>
  <si>
    <t>Elastic Cloud Server 18</t>
  </si>
  <si>
    <t>Elastic Cloud Server 19</t>
  </si>
  <si>
    <t>General Purpose SSD | 120GB</t>
  </si>
  <si>
    <t>Elastic Cloud Server 20</t>
  </si>
  <si>
    <t>x86 | General computing | x1.2u.8g | 2 vCPUs | 8GB</t>
  </si>
  <si>
    <t>ProductId: OFFI1052842094327324676</t>
  </si>
  <si>
    <t>Elastic Cloud Server 21</t>
  </si>
  <si>
    <t>General Purpose SSD | 40GB</t>
  </si>
  <si>
    <t>Elastic Cloud Server 22</t>
  </si>
  <si>
    <t>Elastic IP 1</t>
  </si>
  <si>
    <t>1 hour</t>
  </si>
  <si>
    <t xml:space="preserve">  Bandwidth Price</t>
  </si>
  <si>
    <t>Dedicated | Dynamic BGP | Traffic | 200GB</t>
  </si>
  <si>
    <t>ProductId: 00301-103160-0--0</t>
  </si>
  <si>
    <t xml:space="preserve">  EIP Price</t>
  </si>
  <si>
    <t xml:space="preserve">1 </t>
  </si>
  <si>
    <t>ProductId: 00301-103161-0--0</t>
  </si>
  <si>
    <t>Elastic IP 2</t>
  </si>
  <si>
    <t>Dedicated | Dynamic BGP | Traffic | 100GB</t>
  </si>
  <si>
    <t>Elastic IP 3</t>
  </si>
  <si>
    <t>NAT Gateway 1</t>
  </si>
  <si>
    <t>30 days</t>
  </si>
  <si>
    <t>Small</t>
  </si>
  <si>
    <t>ProductId: 00301-102274-0--0</t>
  </si>
  <si>
    <t>Elastic IP 4</t>
  </si>
  <si>
    <t>Dedicated | Dynamic BGP | Traffic | 2TB</t>
  </si>
  <si>
    <t>Virtual Private Network 1</t>
  </si>
  <si>
    <t>730 Hours</t>
  </si>
  <si>
    <t xml:space="preserve">  Routing Type</t>
  </si>
  <si>
    <t>Dynamic BGP | Traffic | 2TB</t>
  </si>
  <si>
    <t xml:space="preserve">  VPN Connections</t>
  </si>
  <si>
    <t>ProductId: 00301-102270-0--0</t>
  </si>
  <si>
    <t>Total Price</t>
  </si>
  <si>
    <t>The preceding price is for reference only and may vary from the final price in your bill</t>
  </si>
  <si>
    <t>Unit</t>
  </si>
  <si>
    <t>Quantity</t>
  </si>
  <si>
    <t>Specifications</t>
  </si>
  <si>
    <t>Unit Price (USD)</t>
  </si>
  <si>
    <t>Discounted Unit Price (USD)</t>
  </si>
  <si>
    <t>hours</t>
  </si>
  <si>
    <t xml:space="preserve">x86 | General computing | s3.2xlarge.2 | 8 vCPUs | 16GB; CentOS | CentOS 7.9 64bit; General Purpose SSD | 1000GB; </t>
  </si>
  <si>
    <t xml:space="preserve">x86 | Memory-optimized | m3.6xlarge.8 | 24 vCPUs | 192GB; CentOS | CentOS 7.9 64bit; General Purpose SSD | 80GB; General Purpose SSD | 3520GB; </t>
  </si>
  <si>
    <t xml:space="preserve">x86 | General computing | s3.2xlarge.4 | 8 vCPUs | 32GB; AlmaLinux | AlmaLinux 9.0 64bit; General Purpose SSD | 80GB; General Purpose SSD | 3420GB; </t>
  </si>
  <si>
    <t xml:space="preserve">x86 | General computing-plus | c7n.12xlarge.2 | 48 vCPUs | 96GB; Debian | Debian 8.8.0 64bit; General Purpose SSD | 1000GB; </t>
  </si>
  <si>
    <t xml:space="preserve">x86 | General computing-plus | c7n.16xlarge.2 | 64 vCPUs | 128GB; CentOS | CentOS 7.9 64bit; General Purpose SSD | 450GB; </t>
  </si>
  <si>
    <t xml:space="preserve">x86 | General computing | x1.12u.16g | 12 vCPUs | 16GB; CentOS | CentOS 7.9 64bit; General Purpose SSD | 210GB; </t>
  </si>
  <si>
    <t xml:space="preserve">x86 | General computing | s3.large.2 | 2 vCPUs | 4GB; CentOS | CentOS 7.9 64bit; General Purpose SSD | 80GB; </t>
  </si>
  <si>
    <t xml:space="preserve">x86 | General computing | x1.4u.2g | 4 vCPUs | 2GB; AlmaLinux | AlmaLinux 9.0 64bit; General Purpose SSD | 212GB; </t>
  </si>
  <si>
    <t xml:space="preserve">x86 | General computing | x1.6u.2g | 6 vCPUs | 2GB; AlmaLinux | AlmaLinux 9.0 64bit; General Purpose SSD | 112GB; </t>
  </si>
  <si>
    <t xml:space="preserve">x86 | General computing | x1.6u.20g | 6 vCPUs | 20GB; AlmaLinux | AlmaLinux 9.0 64bit; General Purpose SSD | 110GB; </t>
  </si>
  <si>
    <t xml:space="preserve">x86 | General computing | s3.large.2 | 2 vCPUs | 4GB; AlmaLinux | AlmaLinux 9.0 64bit; General Purpose SSD | 50GB; </t>
  </si>
  <si>
    <t xml:space="preserve">x86 | General computing | x1.2u.6g | 2 vCPUs | 6GB; AlmaLinux | AlmaLinux 9.0 64bit; General Purpose SSD | 60GB; </t>
  </si>
  <si>
    <t xml:space="preserve">x86 | General computing | x1.4u.4g | 4 vCPUs | 4GB; AlmaLinux | AlmaLinux 9.0 64bit; General Purpose SSD | 60GB; </t>
  </si>
  <si>
    <t xml:space="preserve">x86 | General computing | x1.4u.8g | 4 vCPUs | 8GB; AlmaLinux | AlmaLinux 9.0 64bit; General Purpose SSD | 90GB; </t>
  </si>
  <si>
    <t xml:space="preserve">x86 | General computing | x1.4u.8g | 4 vCPUs | 8GB; AlmaLinux | AlmaLinux 9.0 64bit; General Purpose SSD | 100GB; </t>
  </si>
  <si>
    <t xml:space="preserve">x86 | General computing | x1.4u.8g | 4 vCPUs | 8GB; AlmaLinux | AlmaLinux 9.0 64bit; General Purpose SSD | 120GB; </t>
  </si>
  <si>
    <t xml:space="preserve">x86 | General computing | x1.2u.8g | 2 vCPUs | 8GB; AlmaLinux | AlmaLinux 9.0 64bit; General Purpose SSD | 100GB; </t>
  </si>
  <si>
    <t xml:space="preserve">x86 | General computing | x1.4u.4g | 4 vCPUs | 4GB; AlmaLinux | AlmaLinux 9.0 64bit; General Purpose SSD | 40GB; </t>
  </si>
  <si>
    <t>hour</t>
  </si>
  <si>
    <t xml:space="preserve">Dedicated | Dynamic BGP | Traffic | 200GB; 1 ; </t>
  </si>
  <si>
    <t xml:space="preserve">Dedicated | Dynamic BGP | Traffic | 100GB; 1 ; </t>
  </si>
  <si>
    <t>days</t>
  </si>
  <si>
    <t xml:space="preserve">Small; </t>
  </si>
  <si>
    <t xml:space="preserve">Dedicated | Dynamic BGP | Traffic | 2TB; 1 ; </t>
  </si>
  <si>
    <t>Hours</t>
  </si>
  <si>
    <t xml:space="preserve">Dynamic BGP | Traffic | 2TB; 1 ; </t>
  </si>
  <si>
    <t>Elastic Cloud Server 10</t>
  </si>
  <si>
    <t>NOTA GLOBALHITSS</t>
  </si>
  <si>
    <t>Se incluye en el costo lo Licencia Windows Server</t>
  </si>
  <si>
    <t>NO SE INCLUYE Licencia Windows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</si>
</sst>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##"/>
  </numFmts>
  <fonts count="8">
    <font>
      <sz val="11"/>
      <color theme="1"/>
      <name val="Calibri"/>
      <family val="2"/>
      <scheme val="minor"/>
    </font>
    <font>
      <sz val="14"/>
      <color rgb="FFFFFFF0"/>
      <name val="微软雅黑"/>
    </font>
    <font>
      <sz val="12"/>
      <name val="微软雅黑"/>
    </font>
    <font>
      <sz val="12"/>
      <color rgb="FFCD2626"/>
      <name val="微软雅黑"/>
    </font>
    <font>
      <sz val="12"/>
      <color rgb="FF8F8F8F"/>
      <name val="微软雅黑"/>
    </font>
    <font>
      <sz val="12"/>
      <color rgb="FF00CD00"/>
      <name val="微软雅黑"/>
    </font>
    <font>
      <b/>
      <sz val="12"/>
      <name val="微软雅黑"/>
    </font>
    <font>
      <b/>
      <sz val="14"/>
      <name val="微软雅黑"/>
    </font>
  </fonts>
  <fills count="8">
    <fill>
      <patternFill patternType="none"/>
    </fill>
    <fill>
      <patternFill patternType="gray125"/>
    </fill>
    <fill>
      <patternFill patternType="solid">
        <fgColor rgb="FF1874CD"/>
      </patternFill>
    </fill>
    <fill>
      <patternFill patternType="solid">
        <fgColor rgb="FFDBDBDB"/>
      </patternFill>
    </fill>
    <fill>
      <patternFill patternType="solid">
        <fgColor rgb="FFF5F5F5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medium">
        <color auto="1"/>
      </bottom>
      <diagonal/>
    </border>
    <border>
      <left style="thin">
        <color rgb="FFFFFFFF"/>
      </left>
      <right style="medium">
        <color auto="1"/>
      </right>
      <top/>
      <bottom style="medium">
        <color auto="1"/>
      </bottom>
      <diagonal/>
    </border>
    <border>
      <left style="thin">
        <color rgb="FFDBDBDB"/>
      </left>
      <right style="thin">
        <color rgb="FFDBDBDB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0" borderId="2" xfId="0" applyFont="1" applyBorder="1" applyAlignment="1">
      <alignment horizontal="left" vertical="center" wrapText="1"/>
    </xf>
    <xf numFmtId="4" fontId="2" fillId="0" borderId="2" xfId="0" applyNumberFormat="1" applyFont="1" applyBorder="1" applyAlignment="1">
      <alignment horizontal="right" vertical="center" wrapText="1"/>
    </xf>
    <xf numFmtId="4" fontId="2" fillId="0" borderId="0" xfId="0" applyNumberFormat="1" applyFont="1" applyAlignment="1">
      <alignment horizontal="righ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0" fontId="4" fillId="4" borderId="0" xfId="0" applyFont="1" applyFill="1" applyAlignment="1">
      <alignment horizontal="left" vertical="center" wrapText="1"/>
    </xf>
    <xf numFmtId="164" fontId="2" fillId="4" borderId="0" xfId="0" applyNumberFormat="1" applyFont="1" applyFill="1" applyAlignment="1">
      <alignment horizontal="right" vertical="center" wrapText="1"/>
    </xf>
    <xf numFmtId="164" fontId="5" fillId="4" borderId="0" xfId="0" applyNumberFormat="1" applyFont="1" applyFill="1" applyAlignment="1">
      <alignment horizontal="right" vertical="center" wrapText="1"/>
    </xf>
    <xf numFmtId="164" fontId="5" fillId="4" borderId="1" xfId="0" applyNumberFormat="1" applyFont="1" applyFill="1" applyBorder="1" applyAlignment="1">
      <alignment horizontal="right" vertical="center" wrapText="1"/>
    </xf>
    <xf numFmtId="4" fontId="2" fillId="0" borderId="3" xfId="0" applyNumberFormat="1" applyFont="1" applyBorder="1" applyAlignment="1">
      <alignment horizontal="right" vertical="center" wrapText="1"/>
    </xf>
    <xf numFmtId="4" fontId="5" fillId="0" borderId="3" xfId="0" applyNumberFormat="1" applyFont="1" applyBorder="1" applyAlignment="1">
      <alignment horizontal="right" vertical="center" wrapText="1"/>
    </xf>
    <xf numFmtId="4" fontId="3" fillId="0" borderId="4" xfId="0" applyNumberFormat="1" applyFont="1" applyBorder="1" applyAlignment="1">
      <alignment horizontal="right" vertical="center" wrapText="1"/>
    </xf>
    <xf numFmtId="4" fontId="2" fillId="3" borderId="5" xfId="0" applyNumberFormat="1" applyFont="1" applyFill="1" applyBorder="1" applyAlignment="1">
      <alignment horizontal="right" vertical="center" wrapText="1"/>
    </xf>
    <xf numFmtId="4" fontId="5" fillId="3" borderId="5" xfId="0" applyNumberFormat="1" applyFont="1" applyFill="1" applyBorder="1" applyAlignment="1">
      <alignment horizontal="right" vertical="center" wrapText="1"/>
    </xf>
    <xf numFmtId="4" fontId="3" fillId="3" borderId="4" xfId="0" applyNumberFormat="1" applyFont="1" applyFill="1" applyBorder="1" applyAlignment="1">
      <alignment horizontal="right" vertical="center" wrapText="1"/>
    </xf>
    <xf numFmtId="164" fontId="2" fillId="0" borderId="0" xfId="0" applyNumberFormat="1" applyFont="1" applyAlignment="1">
      <alignment horizontal="right" vertical="center" wrapText="1"/>
    </xf>
    <xf numFmtId="164" fontId="5" fillId="0" borderId="0" xfId="0" applyNumberFormat="1" applyFont="1" applyAlignment="1">
      <alignment horizontal="right" vertical="center" wrapText="1"/>
    </xf>
    <xf numFmtId="164" fontId="3" fillId="0" borderId="1" xfId="0" applyNumberFormat="1" applyFont="1" applyBorder="1" applyAlignment="1">
      <alignment horizontal="right" vertical="center" wrapText="1"/>
    </xf>
    <xf numFmtId="4" fontId="2" fillId="4" borderId="6" xfId="0" applyNumberFormat="1" applyFont="1" applyFill="1" applyBorder="1" applyAlignment="1">
      <alignment horizontal="right" vertical="center" wrapText="1"/>
    </xf>
    <xf numFmtId="4" fontId="5" fillId="4" borderId="6" xfId="0" applyNumberFormat="1" applyFont="1" applyFill="1" applyBorder="1" applyAlignment="1">
      <alignment horizontal="right" vertical="center" wrapText="1"/>
    </xf>
    <xf numFmtId="4" fontId="3" fillId="4" borderId="7" xfId="0" applyNumberFormat="1" applyFont="1" applyFill="1" applyBorder="1" applyAlignment="1">
      <alignment horizontal="right" vertical="center" wrapText="1"/>
    </xf>
    <xf numFmtId="4" fontId="2" fillId="3" borderId="6" xfId="0" applyNumberFormat="1" applyFont="1" applyFill="1" applyBorder="1" applyAlignment="1">
      <alignment horizontal="right" vertical="center" wrapText="1"/>
    </xf>
    <xf numFmtId="4" fontId="5" fillId="3" borderId="6" xfId="0" applyNumberFormat="1" applyFont="1" applyFill="1" applyBorder="1" applyAlignment="1">
      <alignment horizontal="right" vertical="center" wrapText="1"/>
    </xf>
    <xf numFmtId="4" fontId="3" fillId="3" borderId="7" xfId="0" applyNumberFormat="1" applyFont="1" applyFill="1" applyBorder="1" applyAlignment="1">
      <alignment horizontal="right" vertical="center" wrapText="1"/>
    </xf>
    <xf numFmtId="0" fontId="7" fillId="5" borderId="0" xfId="0" applyFont="1" applyFill="1" applyAlignment="1">
      <alignment horizontal="center" wrapText="1"/>
    </xf>
    <xf numFmtId="0" fontId="0" fillId="7" borderId="8" xfId="0" applyFill="1" applyBorder="1"/>
    <xf numFmtId="0" fontId="0" fillId="6" borderId="8" xfId="0" applyFill="1" applyBorder="1"/>
    <xf numFmtId="0" fontId="0" fillId="6" borderId="8" xfId="0" applyFill="1" applyBorder="1"/>
    <xf numFmtId="0" fontId="0" fillId="6" borderId="8" xfId="0" applyFill="1" applyBorder="1"/>
    <xf numFmtId="0" fontId="0" fillId="6" borderId="8" xfId="0" applyFill="1" applyBorder="1"/>
    <xf numFmtId="0" fontId="0" fillId="6" borderId="8" xfId="0" applyFill="1" applyBorder="1"/>
    <xf numFmtId="0" fontId="0" fillId="6" borderId="8" xfId="0" applyFill="1" applyBorder="1"/>
    <xf numFmtId="0" fontId="0" fillId="6" borderId="8" xfId="0" applyFill="1" applyBorder="1"/>
    <xf numFmtId="0" fontId="0" fillId="6" borderId="8" xfId="0" applyFill="1" applyBorder="1"/>
    <xf numFmtId="0" fontId="0" fillId="6" borderId="8" xfId="0" applyFill="1" applyBorder="1"/>
    <xf numFmtId="0" fontId="0" fillId="6" borderId="8" xfId="0" applyFill="1" applyBorder="1"/>
    <xf numFmtId="0" fontId="0" fillId="6" borderId="8" xfId="0" applyFill="1" applyBorder="1"/>
    <xf numFmtId="0" fontId="0" fillId="6" borderId="8" xfId="0" applyFill="1" applyBorder="1"/>
    <xf numFmtId="0" fontId="0" fillId="6" borderId="8" xfId="0" applyFill="1" applyBorder="1"/>
    <xf numFmtId="0" fontId="0" fillId="6" borderId="8" xfId="0" applyFill="1" applyBorder="1"/>
    <xf numFmtId="164" fontId="2" fillId="4" borderId="0" xfId="0" applyNumberFormat="1" applyFont="1" applyFill="1" applyAlignment="1">
      <alignment horizontal="right" vertical="center" wrapText="1"/>
    </xf>
    <xf numFmtId="0" fontId="0" fillId="7" borderId="8" xfId="0" applyFill="1" applyBorder="1"/>
    <xf numFmtId="0" fontId="4" fillId="4" borderId="0" xfId="0" applyFont="1" applyFill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left" vertical="center" wrapText="1"/>
    </xf>
    <xf numFmtId="0" fontId="2" fillId="3" borderId="6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tabSelected="1" zoomScale="55" zoomScaleNormal="55" workbookViewId="0">
      <pane xSplit="4" ySplit="1" topLeftCell="E90" activePane="bottomRight" state="frozen"/>
      <selection pane="topRight" activeCell="E1" sqref="E1"/>
      <selection pane="bottomLeft" activeCell="A2" sqref="A2"/>
      <selection pane="bottomRight" activeCell="F85" sqref="F85"/>
    </sheetView>
  </sheetViews>
  <sheetFormatPr defaultColWidth="8.86328125" defaultRowHeight="14.25"/>
  <cols>
    <col min="1" max="1" width="30" customWidth="1"/>
    <col min="2" max="2" width="50" customWidth="1"/>
    <col min="3" max="5" width="25" customWidth="1"/>
    <col min="6" max="6" width="20" customWidth="1"/>
    <col min="7" max="7" width="25" customWidth="1"/>
    <col min="8" max="8" width="20" customWidth="1"/>
    <col min="10" max="10" width="50.33203125" customWidth="1"/>
  </cols>
  <sheetData>
    <row r="1" spans="1:10" s="1" customFormat="1" ht="50" customHeight="1">
      <c r="A1" s="51" t="s">
        <v>0</v>
      </c>
      <c r="B1" s="51"/>
      <c r="C1" s="51"/>
      <c r="D1" s="51"/>
      <c r="E1" s="51"/>
      <c r="F1" s="51"/>
      <c r="G1" s="51"/>
      <c r="H1" s="51"/>
      <c r="J1" s="29" t="s">
        <v>144</v>
      </c>
    </row>
    <row r="2" spans="1:10" s="2" customFormat="1" ht="50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4" t="s">
        <v>7</v>
      </c>
      <c r="H2" s="5" t="s">
        <v>8</v>
      </c>
    </row>
    <row r="3" spans="1:10" ht="40.049999999999997" customHeight="1">
      <c r="A3" s="6" t="s">
        <v>9</v>
      </c>
      <c r="B3" s="6" t="s">
        <v>10</v>
      </c>
      <c r="C3" s="6" t="s">
        <v>11</v>
      </c>
      <c r="D3" s="6" t="s">
        <v>12</v>
      </c>
      <c r="E3" s="6" t="s">
        <v>13</v>
      </c>
      <c r="F3" s="7">
        <v>252.58</v>
      </c>
      <c r="G3" s="8">
        <v>0</v>
      </c>
      <c r="H3" s="9">
        <v>252.58</v>
      </c>
    </row>
    <row r="4" spans="1:10" ht="32.25">
      <c r="A4" s="10" t="s">
        <v>14</v>
      </c>
      <c r="B4" s="47" t="s">
        <v>15</v>
      </c>
      <c r="C4" s="47"/>
      <c r="D4" s="10" t="s">
        <v>16</v>
      </c>
      <c r="E4" s="10" t="s">
        <v>17</v>
      </c>
      <c r="F4" s="11">
        <v>157.68</v>
      </c>
      <c r="G4" s="12">
        <v>0</v>
      </c>
      <c r="H4" s="13">
        <v>157.68</v>
      </c>
    </row>
    <row r="5" spans="1:10" ht="16.149999999999999">
      <c r="A5" s="10" t="s">
        <v>18</v>
      </c>
      <c r="B5" s="47" t="s">
        <v>19</v>
      </c>
      <c r="C5" s="47"/>
      <c r="D5" s="10"/>
      <c r="E5" s="10" t="s">
        <v>17</v>
      </c>
      <c r="F5" s="11">
        <v>0</v>
      </c>
      <c r="G5" s="12">
        <v>0</v>
      </c>
      <c r="H5" s="13">
        <v>0</v>
      </c>
    </row>
    <row r="6" spans="1:10" ht="48.4">
      <c r="A6" s="10" t="s">
        <v>20</v>
      </c>
      <c r="B6" s="47" t="s">
        <v>21</v>
      </c>
      <c r="C6" s="47"/>
      <c r="D6" s="10" t="s">
        <v>22</v>
      </c>
      <c r="E6" s="10" t="s">
        <v>17</v>
      </c>
      <c r="F6" s="11">
        <v>94.9</v>
      </c>
      <c r="G6" s="12">
        <v>0</v>
      </c>
      <c r="H6" s="13">
        <v>94.9</v>
      </c>
    </row>
    <row r="7" spans="1:10" ht="40.049999999999997" customHeight="1">
      <c r="A7" s="6" t="s">
        <v>23</v>
      </c>
      <c r="B7" s="6" t="s">
        <v>10</v>
      </c>
      <c r="C7" s="6" t="s">
        <v>11</v>
      </c>
      <c r="D7" s="6" t="s">
        <v>12</v>
      </c>
      <c r="E7" s="6" t="s">
        <v>13</v>
      </c>
      <c r="F7" s="7">
        <v>1331.52</v>
      </c>
      <c r="G7" s="8">
        <v>0</v>
      </c>
      <c r="H7" s="9">
        <v>1331.52</v>
      </c>
    </row>
    <row r="8" spans="1:10" ht="32.25">
      <c r="A8" s="10" t="s">
        <v>14</v>
      </c>
      <c r="B8" s="47" t="s">
        <v>24</v>
      </c>
      <c r="C8" s="47"/>
      <c r="D8" s="10" t="s">
        <v>25</v>
      </c>
      <c r="E8" s="10" t="s">
        <v>17</v>
      </c>
      <c r="F8" s="11">
        <v>989.88</v>
      </c>
      <c r="G8" s="12">
        <v>0</v>
      </c>
      <c r="H8" s="13">
        <v>989.88</v>
      </c>
    </row>
    <row r="9" spans="1:10" ht="16.149999999999999">
      <c r="A9" s="10" t="s">
        <v>18</v>
      </c>
      <c r="B9" s="47" t="s">
        <v>19</v>
      </c>
      <c r="C9" s="47"/>
      <c r="D9" s="10"/>
      <c r="E9" s="10" t="s">
        <v>17</v>
      </c>
      <c r="F9" s="11">
        <v>0</v>
      </c>
      <c r="G9" s="12">
        <v>0</v>
      </c>
      <c r="H9" s="13">
        <v>0</v>
      </c>
    </row>
    <row r="10" spans="1:10" ht="48.4">
      <c r="A10" s="10" t="s">
        <v>20</v>
      </c>
      <c r="B10" s="47" t="s">
        <v>26</v>
      </c>
      <c r="C10" s="47"/>
      <c r="D10" s="10" t="s">
        <v>22</v>
      </c>
      <c r="E10" s="10" t="s">
        <v>17</v>
      </c>
      <c r="F10" s="11">
        <v>7.5919999999999996</v>
      </c>
      <c r="G10" s="12">
        <v>0</v>
      </c>
      <c r="H10" s="13">
        <v>7.5919999999999996</v>
      </c>
    </row>
    <row r="11" spans="1:10" ht="48.4">
      <c r="A11" s="10" t="s">
        <v>27</v>
      </c>
      <c r="B11" s="47" t="s">
        <v>28</v>
      </c>
      <c r="C11" s="47"/>
      <c r="D11" s="10" t="s">
        <v>22</v>
      </c>
      <c r="E11" s="10" t="s">
        <v>17</v>
      </c>
      <c r="F11" s="11">
        <v>334.048</v>
      </c>
      <c r="G11" s="12">
        <v>0</v>
      </c>
      <c r="H11" s="13">
        <v>334.048</v>
      </c>
    </row>
    <row r="12" spans="1:10" ht="40.049999999999997" customHeight="1">
      <c r="A12" s="6" t="s">
        <v>29</v>
      </c>
      <c r="B12" s="6" t="s">
        <v>10</v>
      </c>
      <c r="C12" s="6" t="s">
        <v>11</v>
      </c>
      <c r="D12" s="6" t="s">
        <v>12</v>
      </c>
      <c r="E12" s="6" t="s">
        <v>13</v>
      </c>
      <c r="F12" s="7">
        <f>SUM(F13:F16)</f>
        <v>676.71</v>
      </c>
      <c r="G12" s="8">
        <v>0</v>
      </c>
      <c r="H12" s="9">
        <f>SUM(H13:H16)</f>
        <v>676.71</v>
      </c>
      <c r="J12" s="46" t="s">
        <v>145</v>
      </c>
    </row>
    <row r="13" spans="1:10" ht="32.25">
      <c r="A13" s="10" t="s">
        <v>14</v>
      </c>
      <c r="B13" s="47" t="s">
        <v>30</v>
      </c>
      <c r="C13" s="47"/>
      <c r="D13" s="10" t="s">
        <v>31</v>
      </c>
      <c r="E13" s="10" t="s">
        <v>17</v>
      </c>
      <c r="F13" s="11">
        <v>344.56</v>
      </c>
      <c r="G13" s="12">
        <v>0</v>
      </c>
      <c r="H13" s="45">
        <v>344.56</v>
      </c>
    </row>
    <row r="14" spans="1:10" ht="16.149999999999999">
      <c r="A14" s="10" t="s">
        <v>18</v>
      </c>
      <c r="B14" s="47" t="s">
        <v>32</v>
      </c>
      <c r="C14" s="47"/>
      <c r="D14" s="10"/>
      <c r="E14" s="10" t="s">
        <v>17</v>
      </c>
      <c r="F14" s="11">
        <v>0</v>
      </c>
      <c r="G14" s="12">
        <v>0</v>
      </c>
      <c r="H14" s="13">
        <v>0</v>
      </c>
    </row>
    <row r="15" spans="1:10" ht="48.4">
      <c r="A15" s="10" t="s">
        <v>20</v>
      </c>
      <c r="B15" s="47" t="s">
        <v>26</v>
      </c>
      <c r="C15" s="47"/>
      <c r="D15" s="10" t="s">
        <v>22</v>
      </c>
      <c r="E15" s="10" t="s">
        <v>17</v>
      </c>
      <c r="F15" s="11">
        <v>7.5919999999999996</v>
      </c>
      <c r="G15" s="12">
        <v>0</v>
      </c>
      <c r="H15" s="13">
        <v>7.5919999999999996</v>
      </c>
    </row>
    <row r="16" spans="1:10" ht="48.4">
      <c r="A16" s="10" t="s">
        <v>27</v>
      </c>
      <c r="B16" s="47" t="s">
        <v>33</v>
      </c>
      <c r="C16" s="47"/>
      <c r="D16" s="10" t="s">
        <v>22</v>
      </c>
      <c r="E16" s="10" t="s">
        <v>17</v>
      </c>
      <c r="F16" s="11">
        <v>324.55799999999999</v>
      </c>
      <c r="G16" s="12">
        <v>0</v>
      </c>
      <c r="H16" s="13">
        <v>324.55799999999999</v>
      </c>
    </row>
    <row r="17" spans="1:10" ht="40.049999999999997" customHeight="1">
      <c r="A17" s="6" t="s">
        <v>34</v>
      </c>
      <c r="B17" s="6" t="s">
        <v>10</v>
      </c>
      <c r="C17" s="6" t="s">
        <v>11</v>
      </c>
      <c r="D17" s="6" t="s">
        <v>12</v>
      </c>
      <c r="E17" s="6" t="s">
        <v>13</v>
      </c>
      <c r="F17" s="7">
        <v>1436.93</v>
      </c>
      <c r="G17" s="8">
        <v>0</v>
      </c>
      <c r="H17" s="9">
        <v>1436.93</v>
      </c>
    </row>
    <row r="18" spans="1:10" ht="48.4">
      <c r="A18" s="10" t="s">
        <v>14</v>
      </c>
      <c r="B18" s="47" t="s">
        <v>35</v>
      </c>
      <c r="C18" s="47"/>
      <c r="D18" s="10" t="s">
        <v>36</v>
      </c>
      <c r="E18" s="10" t="s">
        <v>17</v>
      </c>
      <c r="F18" s="11">
        <v>1342.0319999999999</v>
      </c>
      <c r="G18" s="12">
        <v>0</v>
      </c>
      <c r="H18" s="13">
        <v>1342.0319999999999</v>
      </c>
    </row>
    <row r="19" spans="1:10" ht="16.149999999999999">
      <c r="A19" s="10" t="s">
        <v>18</v>
      </c>
      <c r="B19" s="47" t="s">
        <v>37</v>
      </c>
      <c r="C19" s="47"/>
      <c r="D19" s="10"/>
      <c r="E19" s="10" t="s">
        <v>17</v>
      </c>
      <c r="F19" s="11">
        <v>0</v>
      </c>
      <c r="G19" s="12">
        <v>0</v>
      </c>
      <c r="H19" s="13">
        <v>0</v>
      </c>
    </row>
    <row r="20" spans="1:10" ht="48.4">
      <c r="A20" s="10" t="s">
        <v>20</v>
      </c>
      <c r="B20" s="47" t="s">
        <v>21</v>
      </c>
      <c r="C20" s="47"/>
      <c r="D20" s="10" t="s">
        <v>22</v>
      </c>
      <c r="E20" s="10" t="s">
        <v>17</v>
      </c>
      <c r="F20" s="11">
        <v>94.9</v>
      </c>
      <c r="G20" s="12">
        <v>0</v>
      </c>
      <c r="H20" s="13">
        <v>94.9</v>
      </c>
    </row>
    <row r="21" spans="1:10" ht="40.049999999999997" customHeight="1">
      <c r="A21" s="6" t="s">
        <v>38</v>
      </c>
      <c r="B21" s="6" t="s">
        <v>10</v>
      </c>
      <c r="C21" s="6" t="s">
        <v>11</v>
      </c>
      <c r="D21" s="6" t="s">
        <v>12</v>
      </c>
      <c r="E21" s="6" t="s">
        <v>13</v>
      </c>
      <c r="F21" s="7">
        <v>1832.08</v>
      </c>
      <c r="G21" s="8">
        <v>0</v>
      </c>
      <c r="H21" s="9">
        <v>1832.08</v>
      </c>
    </row>
    <row r="22" spans="1:10" ht="48.4">
      <c r="A22" s="10" t="s">
        <v>14</v>
      </c>
      <c r="B22" s="47" t="s">
        <v>39</v>
      </c>
      <c r="C22" s="47"/>
      <c r="D22" s="10" t="s">
        <v>40</v>
      </c>
      <c r="E22" s="10" t="s">
        <v>17</v>
      </c>
      <c r="F22" s="11">
        <v>1789.376</v>
      </c>
      <c r="G22" s="12">
        <v>0</v>
      </c>
      <c r="H22" s="13">
        <v>1789.376</v>
      </c>
    </row>
    <row r="23" spans="1:10" ht="16.149999999999999">
      <c r="A23" s="10" t="s">
        <v>18</v>
      </c>
      <c r="B23" s="47" t="s">
        <v>19</v>
      </c>
      <c r="C23" s="47"/>
      <c r="D23" s="10"/>
      <c r="E23" s="10" t="s">
        <v>17</v>
      </c>
      <c r="F23" s="11">
        <v>0</v>
      </c>
      <c r="G23" s="12">
        <v>0</v>
      </c>
      <c r="H23" s="13">
        <v>0</v>
      </c>
    </row>
    <row r="24" spans="1:10" ht="48.4">
      <c r="A24" s="10" t="s">
        <v>20</v>
      </c>
      <c r="B24" s="47" t="s">
        <v>41</v>
      </c>
      <c r="C24" s="47"/>
      <c r="D24" s="10" t="s">
        <v>22</v>
      </c>
      <c r="E24" s="10" t="s">
        <v>17</v>
      </c>
      <c r="F24" s="11">
        <v>42.704999999999998</v>
      </c>
      <c r="G24" s="12">
        <v>0</v>
      </c>
      <c r="H24" s="13">
        <v>42.704999999999998</v>
      </c>
    </row>
    <row r="25" spans="1:10" ht="40.049999999999997" customHeight="1">
      <c r="A25" s="6" t="s">
        <v>42</v>
      </c>
      <c r="B25" s="6" t="s">
        <v>10</v>
      </c>
      <c r="C25" s="6" t="s">
        <v>11</v>
      </c>
      <c r="D25" s="6" t="s">
        <v>12</v>
      </c>
      <c r="E25" s="6" t="s">
        <v>13</v>
      </c>
      <c r="F25" s="7">
        <v>255.28</v>
      </c>
      <c r="G25" s="8">
        <v>0</v>
      </c>
      <c r="H25" s="9">
        <v>255.28</v>
      </c>
      <c r="J25" s="31" t="s">
        <v>146</v>
      </c>
    </row>
    <row r="26" spans="1:10" ht="48.4">
      <c r="A26" s="10" t="s">
        <v>14</v>
      </c>
      <c r="B26" s="47" t="s">
        <v>43</v>
      </c>
      <c r="C26" s="47"/>
      <c r="D26" s="10" t="s">
        <v>44</v>
      </c>
      <c r="E26" s="10" t="s">
        <v>17</v>
      </c>
      <c r="F26" s="11">
        <v>235.352</v>
      </c>
      <c r="G26" s="12">
        <v>0</v>
      </c>
      <c r="H26" s="13">
        <v>235.352</v>
      </c>
    </row>
    <row r="27" spans="1:10" ht="16.149999999999999">
      <c r="A27" s="10" t="s">
        <v>18</v>
      </c>
      <c r="B27" s="47" t="s">
        <v>19</v>
      </c>
      <c r="C27" s="47"/>
      <c r="D27" s="10"/>
      <c r="E27" s="10" t="s">
        <v>17</v>
      </c>
      <c r="F27" s="11">
        <v>0</v>
      </c>
      <c r="G27" s="12">
        <v>0</v>
      </c>
      <c r="H27" s="13">
        <v>0</v>
      </c>
    </row>
    <row r="28" spans="1:10" ht="48.4">
      <c r="A28" s="10" t="s">
        <v>20</v>
      </c>
      <c r="B28" s="47" t="s">
        <v>45</v>
      </c>
      <c r="C28" s="47"/>
      <c r="D28" s="10" t="s">
        <v>22</v>
      </c>
      <c r="E28" s="10" t="s">
        <v>17</v>
      </c>
      <c r="F28" s="11">
        <v>19.928999999999998</v>
      </c>
      <c r="G28" s="12">
        <v>0</v>
      </c>
      <c r="H28" s="13">
        <v>19.928999999999998</v>
      </c>
    </row>
    <row r="29" spans="1:10" ht="40.049999999999997" customHeight="1">
      <c r="A29" s="6" t="s">
        <v>46</v>
      </c>
      <c r="B29" s="6" t="s">
        <v>10</v>
      </c>
      <c r="C29" s="6" t="s">
        <v>11</v>
      </c>
      <c r="D29" s="6" t="s">
        <v>12</v>
      </c>
      <c r="E29" s="6" t="s">
        <v>13</v>
      </c>
      <c r="F29" s="7">
        <v>47.01</v>
      </c>
      <c r="G29" s="8">
        <v>0</v>
      </c>
      <c r="H29" s="9">
        <v>47.01</v>
      </c>
    </row>
    <row r="30" spans="1:10" ht="32.25">
      <c r="A30" s="10" t="s">
        <v>14</v>
      </c>
      <c r="B30" s="47" t="s">
        <v>47</v>
      </c>
      <c r="C30" s="47"/>
      <c r="D30" s="10" t="s">
        <v>48</v>
      </c>
      <c r="E30" s="10" t="s">
        <v>17</v>
      </c>
      <c r="F30" s="11">
        <v>39.42</v>
      </c>
      <c r="G30" s="12">
        <v>0</v>
      </c>
      <c r="H30" s="13">
        <v>39.42</v>
      </c>
    </row>
    <row r="31" spans="1:10" ht="16.149999999999999">
      <c r="A31" s="10" t="s">
        <v>18</v>
      </c>
      <c r="B31" s="47" t="s">
        <v>19</v>
      </c>
      <c r="C31" s="47"/>
      <c r="D31" s="10"/>
      <c r="E31" s="10" t="s">
        <v>17</v>
      </c>
      <c r="F31" s="11">
        <v>0</v>
      </c>
      <c r="G31" s="12">
        <v>0</v>
      </c>
      <c r="H31" s="13">
        <v>0</v>
      </c>
    </row>
    <row r="32" spans="1:10" ht="48.4">
      <c r="A32" s="10" t="s">
        <v>20</v>
      </c>
      <c r="B32" s="47" t="s">
        <v>26</v>
      </c>
      <c r="C32" s="47"/>
      <c r="D32" s="10" t="s">
        <v>22</v>
      </c>
      <c r="E32" s="10" t="s">
        <v>17</v>
      </c>
      <c r="F32" s="11">
        <v>7.5919999999999996</v>
      </c>
      <c r="G32" s="12">
        <v>0</v>
      </c>
      <c r="H32" s="13">
        <v>7.5919999999999996</v>
      </c>
    </row>
    <row r="33" spans="1:10" ht="40.049999999999997" customHeight="1">
      <c r="A33" s="6" t="s">
        <v>49</v>
      </c>
      <c r="B33" s="6" t="s">
        <v>10</v>
      </c>
      <c r="C33" s="6" t="s">
        <v>11</v>
      </c>
      <c r="D33" s="6" t="s">
        <v>12</v>
      </c>
      <c r="E33" s="6" t="s">
        <v>13</v>
      </c>
      <c r="F33" s="7">
        <v>91.88</v>
      </c>
      <c r="G33" s="8">
        <v>0</v>
      </c>
      <c r="H33" s="9">
        <v>91.88</v>
      </c>
      <c r="J33" s="32" t="s">
        <v>146</v>
      </c>
    </row>
    <row r="34" spans="1:10" ht="48.4">
      <c r="A34" s="10" t="s">
        <v>14</v>
      </c>
      <c r="B34" s="47" t="s">
        <v>50</v>
      </c>
      <c r="C34" s="47"/>
      <c r="D34" s="10" t="s">
        <v>51</v>
      </c>
      <c r="E34" s="10" t="s">
        <v>17</v>
      </c>
      <c r="F34" s="11">
        <v>71.759</v>
      </c>
      <c r="G34" s="12">
        <v>0</v>
      </c>
      <c r="H34" s="13">
        <v>71.759</v>
      </c>
    </row>
    <row r="35" spans="1:10" ht="16.149999999999999">
      <c r="A35" s="10" t="s">
        <v>18</v>
      </c>
      <c r="B35" s="47" t="s">
        <v>32</v>
      </c>
      <c r="C35" s="47"/>
      <c r="D35" s="10"/>
      <c r="E35" s="10" t="s">
        <v>17</v>
      </c>
      <c r="F35" s="11">
        <v>0</v>
      </c>
      <c r="G35" s="12">
        <v>0</v>
      </c>
      <c r="H35" s="13">
        <v>0</v>
      </c>
    </row>
    <row r="36" spans="1:10" ht="48.4">
      <c r="A36" s="10" t="s">
        <v>20</v>
      </c>
      <c r="B36" s="47" t="s">
        <v>52</v>
      </c>
      <c r="C36" s="47"/>
      <c r="D36" s="10" t="s">
        <v>22</v>
      </c>
      <c r="E36" s="10" t="s">
        <v>17</v>
      </c>
      <c r="F36" s="11">
        <v>20.1188</v>
      </c>
      <c r="G36" s="12">
        <v>0</v>
      </c>
      <c r="H36" s="13">
        <v>20.1188</v>
      </c>
    </row>
    <row r="37" spans="1:10" ht="40.049999999999997" customHeight="1">
      <c r="A37" s="6" t="s">
        <v>53</v>
      </c>
      <c r="B37" s="6" t="s">
        <v>10</v>
      </c>
      <c r="C37" s="6" t="s">
        <v>11</v>
      </c>
      <c r="D37" s="6" t="s">
        <v>12</v>
      </c>
      <c r="E37" s="6" t="s">
        <v>13</v>
      </c>
      <c r="F37" s="7">
        <v>116.26</v>
      </c>
      <c r="G37" s="8">
        <v>0</v>
      </c>
      <c r="H37" s="9">
        <v>116.26</v>
      </c>
      <c r="J37" s="33" t="s">
        <v>146</v>
      </c>
    </row>
    <row r="38" spans="1:10" ht="48.4">
      <c r="A38" s="10" t="s">
        <v>14</v>
      </c>
      <c r="B38" s="47" t="s">
        <v>54</v>
      </c>
      <c r="C38" s="47"/>
      <c r="D38" s="10" t="s">
        <v>55</v>
      </c>
      <c r="E38" s="10" t="s">
        <v>17</v>
      </c>
      <c r="F38" s="11">
        <v>105.631</v>
      </c>
      <c r="G38" s="12">
        <v>0</v>
      </c>
      <c r="H38" s="13">
        <v>105.631</v>
      </c>
    </row>
    <row r="39" spans="1:10" ht="16.149999999999999">
      <c r="A39" s="10" t="s">
        <v>18</v>
      </c>
      <c r="B39" s="47" t="s">
        <v>32</v>
      </c>
      <c r="C39" s="47"/>
      <c r="D39" s="10"/>
      <c r="E39" s="10" t="s">
        <v>17</v>
      </c>
      <c r="F39" s="11">
        <v>0</v>
      </c>
      <c r="G39" s="12">
        <v>0</v>
      </c>
      <c r="H39" s="13">
        <v>0</v>
      </c>
    </row>
    <row r="40" spans="1:10" ht="48.4">
      <c r="A40" s="10" t="s">
        <v>20</v>
      </c>
      <c r="B40" s="47" t="s">
        <v>56</v>
      </c>
      <c r="C40" s="47"/>
      <c r="D40" s="10" t="s">
        <v>22</v>
      </c>
      <c r="E40" s="10" t="s">
        <v>17</v>
      </c>
      <c r="F40" s="11">
        <v>10.6288</v>
      </c>
      <c r="G40" s="12">
        <v>0</v>
      </c>
      <c r="H40" s="13">
        <v>10.6288</v>
      </c>
    </row>
    <row r="41" spans="1:10" ht="40.049999999999997" customHeight="1">
      <c r="A41" s="6" t="s">
        <v>143</v>
      </c>
      <c r="B41" s="6" t="s">
        <v>10</v>
      </c>
      <c r="C41" s="6" t="s">
        <v>11</v>
      </c>
      <c r="D41" s="6" t="s">
        <v>12</v>
      </c>
      <c r="E41" s="6" t="s">
        <v>13</v>
      </c>
      <c r="F41" s="7">
        <v>152.21</v>
      </c>
      <c r="G41" s="8">
        <v>0</v>
      </c>
      <c r="H41" s="9">
        <v>152.21</v>
      </c>
      <c r="J41" s="34" t="s">
        <v>146</v>
      </c>
    </row>
    <row r="42" spans="1:10" ht="48.4">
      <c r="A42" s="10" t="s">
        <v>14</v>
      </c>
      <c r="B42" s="47" t="s">
        <v>58</v>
      </c>
      <c r="C42" s="47"/>
      <c r="D42" s="10" t="s">
        <v>59</v>
      </c>
      <c r="E42" s="10" t="s">
        <v>17</v>
      </c>
      <c r="F42" s="11">
        <v>141.76599999999999</v>
      </c>
      <c r="G42" s="12">
        <v>0</v>
      </c>
      <c r="H42" s="13">
        <v>141.76599999999999</v>
      </c>
    </row>
    <row r="43" spans="1:10" ht="16.149999999999999">
      <c r="A43" s="10" t="s">
        <v>18</v>
      </c>
      <c r="B43" s="47" t="s">
        <v>32</v>
      </c>
      <c r="C43" s="47"/>
      <c r="D43" s="10"/>
      <c r="E43" s="10" t="s">
        <v>17</v>
      </c>
      <c r="F43" s="11">
        <v>0</v>
      </c>
      <c r="G43" s="12">
        <v>0</v>
      </c>
      <c r="H43" s="13">
        <v>0</v>
      </c>
    </row>
    <row r="44" spans="1:10" ht="48.4">
      <c r="A44" s="10" t="s">
        <v>20</v>
      </c>
      <c r="B44" s="47" t="s">
        <v>60</v>
      </c>
      <c r="C44" s="47"/>
      <c r="D44" s="10" t="s">
        <v>22</v>
      </c>
      <c r="E44" s="10" t="s">
        <v>17</v>
      </c>
      <c r="F44" s="11">
        <v>10.439</v>
      </c>
      <c r="G44" s="12">
        <v>0</v>
      </c>
      <c r="H44" s="13">
        <v>10.439</v>
      </c>
    </row>
    <row r="45" spans="1:10" ht="40.049999999999997" customHeight="1">
      <c r="A45" s="6" t="s">
        <v>57</v>
      </c>
      <c r="B45" s="6" t="s">
        <v>10</v>
      </c>
      <c r="C45" s="6" t="s">
        <v>11</v>
      </c>
      <c r="D45" s="6" t="s">
        <v>12</v>
      </c>
      <c r="E45" s="6" t="s">
        <v>13</v>
      </c>
      <c r="F45" s="7">
        <f>SUM(F46:F48)</f>
        <v>86.50500000000001</v>
      </c>
      <c r="G45" s="8">
        <v>0</v>
      </c>
      <c r="H45" s="9">
        <f>SUM(H46:H48)</f>
        <v>86.50500000000001</v>
      </c>
      <c r="J45" s="30" t="s">
        <v>145</v>
      </c>
    </row>
    <row r="46" spans="1:10" ht="32.25">
      <c r="A46" s="10" t="s">
        <v>14</v>
      </c>
      <c r="B46" s="47" t="s">
        <v>47</v>
      </c>
      <c r="C46" s="47"/>
      <c r="D46" s="10" t="s">
        <v>48</v>
      </c>
      <c r="E46" s="10" t="s">
        <v>17</v>
      </c>
      <c r="F46" s="11">
        <v>81.760000000000005</v>
      </c>
      <c r="G46" s="12">
        <v>0</v>
      </c>
      <c r="H46" s="13">
        <v>81.760000000000005</v>
      </c>
    </row>
    <row r="47" spans="1:10" ht="16.149999999999999">
      <c r="A47" s="10" t="s">
        <v>18</v>
      </c>
      <c r="B47" s="47" t="s">
        <v>32</v>
      </c>
      <c r="C47" s="47"/>
      <c r="D47" s="10"/>
      <c r="E47" s="10" t="s">
        <v>17</v>
      </c>
      <c r="F47" s="11">
        <v>0</v>
      </c>
      <c r="G47" s="12">
        <v>0</v>
      </c>
      <c r="H47" s="13">
        <v>0</v>
      </c>
    </row>
    <row r="48" spans="1:10" ht="48.4">
      <c r="A48" s="10" t="s">
        <v>20</v>
      </c>
      <c r="B48" s="47" t="s">
        <v>62</v>
      </c>
      <c r="C48" s="47"/>
      <c r="D48" s="10" t="s">
        <v>22</v>
      </c>
      <c r="E48" s="10" t="s">
        <v>17</v>
      </c>
      <c r="F48" s="11">
        <v>4.7450000000000001</v>
      </c>
      <c r="G48" s="12">
        <v>0</v>
      </c>
      <c r="H48" s="13">
        <v>4.7450000000000001</v>
      </c>
    </row>
    <row r="49" spans="1:10" ht="40.049999999999997" customHeight="1">
      <c r="A49" s="6" t="s">
        <v>61</v>
      </c>
      <c r="B49" s="6" t="s">
        <v>10</v>
      </c>
      <c r="C49" s="6" t="s">
        <v>11</v>
      </c>
      <c r="D49" s="6" t="s">
        <v>12</v>
      </c>
      <c r="E49" s="6" t="s">
        <v>13</v>
      </c>
      <c r="F49" s="7">
        <v>51.61</v>
      </c>
      <c r="G49" s="8">
        <v>0</v>
      </c>
      <c r="H49" s="9">
        <v>51.61</v>
      </c>
      <c r="J49" s="35" t="s">
        <v>146</v>
      </c>
    </row>
    <row r="50" spans="1:10" ht="48.4">
      <c r="A50" s="10" t="s">
        <v>14</v>
      </c>
      <c r="B50" s="47" t="s">
        <v>64</v>
      </c>
      <c r="C50" s="47"/>
      <c r="D50" s="10" t="s">
        <v>65</v>
      </c>
      <c r="E50" s="10" t="s">
        <v>17</v>
      </c>
      <c r="F50" s="11">
        <v>45.917000000000002</v>
      </c>
      <c r="G50" s="12">
        <v>0</v>
      </c>
      <c r="H50" s="13">
        <v>45.917000000000002</v>
      </c>
    </row>
    <row r="51" spans="1:10" ht="16.149999999999999">
      <c r="A51" s="10" t="s">
        <v>18</v>
      </c>
      <c r="B51" s="47" t="s">
        <v>32</v>
      </c>
      <c r="C51" s="47"/>
      <c r="D51" s="10"/>
      <c r="E51" s="10" t="s">
        <v>17</v>
      </c>
      <c r="F51" s="11">
        <v>0</v>
      </c>
      <c r="G51" s="12">
        <v>0</v>
      </c>
      <c r="H51" s="13">
        <v>0</v>
      </c>
    </row>
    <row r="52" spans="1:10" ht="48.4">
      <c r="A52" s="10" t="s">
        <v>20</v>
      </c>
      <c r="B52" s="47" t="s">
        <v>66</v>
      </c>
      <c r="C52" s="47"/>
      <c r="D52" s="10" t="s">
        <v>22</v>
      </c>
      <c r="E52" s="10" t="s">
        <v>17</v>
      </c>
      <c r="F52" s="11">
        <v>5.694</v>
      </c>
      <c r="G52" s="12">
        <v>0</v>
      </c>
      <c r="H52" s="13">
        <v>5.694</v>
      </c>
    </row>
    <row r="53" spans="1:10" ht="40.049999999999997" customHeight="1">
      <c r="A53" s="6" t="s">
        <v>63</v>
      </c>
      <c r="B53" s="6" t="s">
        <v>10</v>
      </c>
      <c r="C53" s="6" t="s">
        <v>11</v>
      </c>
      <c r="D53" s="6" t="s">
        <v>12</v>
      </c>
      <c r="E53" s="6" t="s">
        <v>13</v>
      </c>
      <c r="F53" s="7">
        <v>81.47</v>
      </c>
      <c r="G53" s="8">
        <v>0</v>
      </c>
      <c r="H53" s="9">
        <v>81.47</v>
      </c>
      <c r="J53" s="36" t="s">
        <v>146</v>
      </c>
    </row>
    <row r="54" spans="1:10" ht="48.4">
      <c r="A54" s="10" t="s">
        <v>14</v>
      </c>
      <c r="B54" s="47" t="s">
        <v>68</v>
      </c>
      <c r="C54" s="47"/>
      <c r="D54" s="10" t="s">
        <v>69</v>
      </c>
      <c r="E54" s="10" t="s">
        <v>17</v>
      </c>
      <c r="F54" s="11">
        <v>75.774000000000001</v>
      </c>
      <c r="G54" s="12">
        <v>0</v>
      </c>
      <c r="H54" s="13">
        <v>75.774000000000001</v>
      </c>
    </row>
    <row r="55" spans="1:10" ht="16.149999999999999">
      <c r="A55" s="10" t="s">
        <v>18</v>
      </c>
      <c r="B55" s="47" t="s">
        <v>32</v>
      </c>
      <c r="C55" s="47"/>
      <c r="D55" s="10"/>
      <c r="E55" s="10" t="s">
        <v>17</v>
      </c>
      <c r="F55" s="11">
        <v>0</v>
      </c>
      <c r="G55" s="12">
        <v>0</v>
      </c>
      <c r="H55" s="13">
        <v>0</v>
      </c>
    </row>
    <row r="56" spans="1:10" ht="48.4">
      <c r="A56" s="10" t="s">
        <v>20</v>
      </c>
      <c r="B56" s="47" t="s">
        <v>66</v>
      </c>
      <c r="C56" s="47"/>
      <c r="D56" s="10" t="s">
        <v>22</v>
      </c>
      <c r="E56" s="10" t="s">
        <v>17</v>
      </c>
      <c r="F56" s="11">
        <v>5.694</v>
      </c>
      <c r="G56" s="12">
        <v>0</v>
      </c>
      <c r="H56" s="13">
        <v>5.694</v>
      </c>
    </row>
    <row r="57" spans="1:10" ht="40.049999999999997" customHeight="1">
      <c r="A57" s="6" t="s">
        <v>67</v>
      </c>
      <c r="B57" s="6" t="s">
        <v>10</v>
      </c>
      <c r="C57" s="6" t="s">
        <v>11</v>
      </c>
      <c r="D57" s="6" t="s">
        <v>12</v>
      </c>
      <c r="E57" s="6" t="s">
        <v>13</v>
      </c>
      <c r="F57" s="7">
        <v>92.35</v>
      </c>
      <c r="G57" s="8">
        <v>0</v>
      </c>
      <c r="H57" s="9">
        <v>92.35</v>
      </c>
      <c r="J57" s="37" t="s">
        <v>146</v>
      </c>
    </row>
    <row r="58" spans="1:10" ht="48.4">
      <c r="A58" s="10" t="s">
        <v>14</v>
      </c>
      <c r="B58" s="47" t="s">
        <v>71</v>
      </c>
      <c r="C58" s="47"/>
      <c r="D58" s="10" t="s">
        <v>72</v>
      </c>
      <c r="E58" s="10" t="s">
        <v>17</v>
      </c>
      <c r="F58" s="11">
        <v>83.804000000000002</v>
      </c>
      <c r="G58" s="12">
        <v>0</v>
      </c>
      <c r="H58" s="13">
        <v>83.804000000000002</v>
      </c>
    </row>
    <row r="59" spans="1:10" ht="16.149999999999999">
      <c r="A59" s="10" t="s">
        <v>18</v>
      </c>
      <c r="B59" s="47" t="s">
        <v>32</v>
      </c>
      <c r="C59" s="47"/>
      <c r="D59" s="10"/>
      <c r="E59" s="10" t="s">
        <v>17</v>
      </c>
      <c r="F59" s="11">
        <v>0</v>
      </c>
      <c r="G59" s="12">
        <v>0</v>
      </c>
      <c r="H59" s="13">
        <v>0</v>
      </c>
    </row>
    <row r="60" spans="1:10" ht="48.4">
      <c r="A60" s="10" t="s">
        <v>20</v>
      </c>
      <c r="B60" s="47" t="s">
        <v>73</v>
      </c>
      <c r="C60" s="47"/>
      <c r="D60" s="10" t="s">
        <v>22</v>
      </c>
      <c r="E60" s="10" t="s">
        <v>17</v>
      </c>
      <c r="F60" s="11">
        <v>8.5410000000000004</v>
      </c>
      <c r="G60" s="12">
        <v>0</v>
      </c>
      <c r="H60" s="13">
        <v>8.5410000000000004</v>
      </c>
    </row>
    <row r="61" spans="1:10" ht="40.049999999999997" customHeight="1">
      <c r="A61" s="6" t="s">
        <v>70</v>
      </c>
      <c r="B61" s="6" t="s">
        <v>10</v>
      </c>
      <c r="C61" s="6" t="s">
        <v>11</v>
      </c>
      <c r="D61" s="6" t="s">
        <v>12</v>
      </c>
      <c r="E61" s="6" t="s">
        <v>13</v>
      </c>
      <c r="F61" s="7">
        <v>93.29</v>
      </c>
      <c r="G61" s="8">
        <v>0</v>
      </c>
      <c r="H61" s="9">
        <v>93.29</v>
      </c>
      <c r="J61" s="38" t="s">
        <v>146</v>
      </c>
    </row>
    <row r="62" spans="1:10" ht="48.4">
      <c r="A62" s="10" t="s">
        <v>14</v>
      </c>
      <c r="B62" s="47" t="s">
        <v>71</v>
      </c>
      <c r="C62" s="47"/>
      <c r="D62" s="10" t="s">
        <v>72</v>
      </c>
      <c r="E62" s="10" t="s">
        <v>17</v>
      </c>
      <c r="F62" s="11">
        <v>83.804000000000002</v>
      </c>
      <c r="G62" s="12">
        <v>0</v>
      </c>
      <c r="H62" s="13">
        <v>83.804000000000002</v>
      </c>
    </row>
    <row r="63" spans="1:10" ht="16.149999999999999">
      <c r="A63" s="10" t="s">
        <v>18</v>
      </c>
      <c r="B63" s="47" t="s">
        <v>32</v>
      </c>
      <c r="C63" s="47"/>
      <c r="D63" s="10"/>
      <c r="E63" s="10" t="s">
        <v>17</v>
      </c>
      <c r="F63" s="11">
        <v>0</v>
      </c>
      <c r="G63" s="12">
        <v>0</v>
      </c>
      <c r="H63" s="13">
        <v>0</v>
      </c>
    </row>
    <row r="64" spans="1:10" ht="48.4">
      <c r="A64" s="10" t="s">
        <v>20</v>
      </c>
      <c r="B64" s="47" t="s">
        <v>75</v>
      </c>
      <c r="C64" s="47"/>
      <c r="D64" s="10" t="s">
        <v>22</v>
      </c>
      <c r="E64" s="10" t="s">
        <v>17</v>
      </c>
      <c r="F64" s="11">
        <v>9.49</v>
      </c>
      <c r="G64" s="12">
        <v>0</v>
      </c>
      <c r="H64" s="13">
        <v>9.49</v>
      </c>
    </row>
    <row r="65" spans="1:10" ht="40.049999999999997" customHeight="1">
      <c r="A65" s="6" t="s">
        <v>74</v>
      </c>
      <c r="B65" s="6" t="s">
        <v>10</v>
      </c>
      <c r="C65" s="6" t="s">
        <v>11</v>
      </c>
      <c r="D65" s="6" t="s">
        <v>12</v>
      </c>
      <c r="E65" s="6" t="s">
        <v>13</v>
      </c>
      <c r="F65" s="7">
        <v>93.29</v>
      </c>
      <c r="G65" s="8">
        <v>0</v>
      </c>
      <c r="H65" s="9">
        <v>93.29</v>
      </c>
      <c r="J65" s="39" t="s">
        <v>146</v>
      </c>
    </row>
    <row r="66" spans="1:10" ht="48.4">
      <c r="A66" s="10" t="s">
        <v>14</v>
      </c>
      <c r="B66" s="47" t="s">
        <v>71</v>
      </c>
      <c r="C66" s="47"/>
      <c r="D66" s="10" t="s">
        <v>72</v>
      </c>
      <c r="E66" s="10" t="s">
        <v>17</v>
      </c>
      <c r="F66" s="11">
        <v>83.804000000000002</v>
      </c>
      <c r="G66" s="12">
        <v>0</v>
      </c>
      <c r="H66" s="13">
        <v>83.804000000000002</v>
      </c>
    </row>
    <row r="67" spans="1:10" ht="16.149999999999999">
      <c r="A67" s="10" t="s">
        <v>18</v>
      </c>
      <c r="B67" s="47" t="s">
        <v>32</v>
      </c>
      <c r="C67" s="47"/>
      <c r="D67" s="10"/>
      <c r="E67" s="10" t="s">
        <v>17</v>
      </c>
      <c r="F67" s="11">
        <v>0</v>
      </c>
      <c r="G67" s="12">
        <v>0</v>
      </c>
      <c r="H67" s="13">
        <v>0</v>
      </c>
    </row>
    <row r="68" spans="1:10" ht="48.4">
      <c r="A68" s="10" t="s">
        <v>20</v>
      </c>
      <c r="B68" s="47" t="s">
        <v>75</v>
      </c>
      <c r="C68" s="47"/>
      <c r="D68" s="10" t="s">
        <v>22</v>
      </c>
      <c r="E68" s="10" t="s">
        <v>17</v>
      </c>
      <c r="F68" s="11">
        <v>9.49</v>
      </c>
      <c r="G68" s="12">
        <v>0</v>
      </c>
      <c r="H68" s="13">
        <v>9.49</v>
      </c>
    </row>
    <row r="69" spans="1:10" ht="40.049999999999997" customHeight="1">
      <c r="A69" s="6" t="s">
        <v>76</v>
      </c>
      <c r="B69" s="6" t="s">
        <v>10</v>
      </c>
      <c r="C69" s="6" t="s">
        <v>11</v>
      </c>
      <c r="D69" s="6" t="s">
        <v>12</v>
      </c>
      <c r="E69" s="6" t="s">
        <v>13</v>
      </c>
      <c r="F69" s="7">
        <v>93.29</v>
      </c>
      <c r="G69" s="8">
        <v>0</v>
      </c>
      <c r="H69" s="9">
        <v>93.29</v>
      </c>
      <c r="J69" s="40" t="s">
        <v>146</v>
      </c>
    </row>
    <row r="70" spans="1:10" ht="48.4">
      <c r="A70" s="10" t="s">
        <v>14</v>
      </c>
      <c r="B70" s="47" t="s">
        <v>71</v>
      </c>
      <c r="C70" s="47"/>
      <c r="D70" s="10" t="s">
        <v>72</v>
      </c>
      <c r="E70" s="10" t="s">
        <v>17</v>
      </c>
      <c r="F70" s="11">
        <v>83.804000000000002</v>
      </c>
      <c r="G70" s="12">
        <v>0</v>
      </c>
      <c r="H70" s="13">
        <v>83.804000000000002</v>
      </c>
    </row>
    <row r="71" spans="1:10" ht="16.149999999999999">
      <c r="A71" s="10" t="s">
        <v>18</v>
      </c>
      <c r="B71" s="47" t="s">
        <v>32</v>
      </c>
      <c r="C71" s="47"/>
      <c r="D71" s="10"/>
      <c r="E71" s="10" t="s">
        <v>17</v>
      </c>
      <c r="F71" s="11">
        <v>0</v>
      </c>
      <c r="G71" s="12">
        <v>0</v>
      </c>
      <c r="H71" s="13">
        <v>0</v>
      </c>
    </row>
    <row r="72" spans="1:10" ht="48.4">
      <c r="A72" s="10" t="s">
        <v>20</v>
      </c>
      <c r="B72" s="47" t="s">
        <v>75</v>
      </c>
      <c r="C72" s="47"/>
      <c r="D72" s="10" t="s">
        <v>22</v>
      </c>
      <c r="E72" s="10" t="s">
        <v>17</v>
      </c>
      <c r="F72" s="11">
        <v>9.49</v>
      </c>
      <c r="G72" s="12">
        <v>0</v>
      </c>
      <c r="H72" s="13">
        <v>9.49</v>
      </c>
    </row>
    <row r="73" spans="1:10" ht="40.049999999999997" customHeight="1">
      <c r="A73" s="6" t="s">
        <v>77</v>
      </c>
      <c r="B73" s="6" t="s">
        <v>10</v>
      </c>
      <c r="C73" s="6" t="s">
        <v>11</v>
      </c>
      <c r="D73" s="6" t="s">
        <v>12</v>
      </c>
      <c r="E73" s="6" t="s">
        <v>13</v>
      </c>
      <c r="F73" s="7">
        <v>95.19</v>
      </c>
      <c r="G73" s="8">
        <v>0</v>
      </c>
      <c r="H73" s="9">
        <v>95.19</v>
      </c>
      <c r="J73" s="41" t="s">
        <v>146</v>
      </c>
    </row>
    <row r="74" spans="1:10" ht="48.4">
      <c r="A74" s="10" t="s">
        <v>14</v>
      </c>
      <c r="B74" s="47" t="s">
        <v>71</v>
      </c>
      <c r="C74" s="47"/>
      <c r="D74" s="10" t="s">
        <v>72</v>
      </c>
      <c r="E74" s="10" t="s">
        <v>17</v>
      </c>
      <c r="F74" s="11">
        <v>83.804000000000002</v>
      </c>
      <c r="G74" s="12">
        <v>0</v>
      </c>
      <c r="H74" s="13">
        <v>83.804000000000002</v>
      </c>
    </row>
    <row r="75" spans="1:10" ht="16.149999999999999">
      <c r="A75" s="10" t="s">
        <v>18</v>
      </c>
      <c r="B75" s="47" t="s">
        <v>32</v>
      </c>
      <c r="C75" s="47"/>
      <c r="D75" s="10"/>
      <c r="E75" s="10" t="s">
        <v>17</v>
      </c>
      <c r="F75" s="11">
        <v>0</v>
      </c>
      <c r="G75" s="12">
        <v>0</v>
      </c>
      <c r="H75" s="13">
        <v>0</v>
      </c>
    </row>
    <row r="76" spans="1:10" ht="48.4">
      <c r="A76" s="10" t="s">
        <v>20</v>
      </c>
      <c r="B76" s="47" t="s">
        <v>79</v>
      </c>
      <c r="C76" s="47"/>
      <c r="D76" s="10" t="s">
        <v>22</v>
      </c>
      <c r="E76" s="10" t="s">
        <v>17</v>
      </c>
      <c r="F76" s="11">
        <v>11.388</v>
      </c>
      <c r="G76" s="12">
        <v>0</v>
      </c>
      <c r="H76" s="13">
        <v>11.388</v>
      </c>
    </row>
    <row r="77" spans="1:10" ht="40.049999999999997" customHeight="1">
      <c r="A77" s="6" t="s">
        <v>78</v>
      </c>
      <c r="B77" s="6" t="s">
        <v>10</v>
      </c>
      <c r="C77" s="6" t="s">
        <v>11</v>
      </c>
      <c r="D77" s="6" t="s">
        <v>12</v>
      </c>
      <c r="E77" s="6" t="s">
        <v>13</v>
      </c>
      <c r="F77" s="7">
        <v>59.42</v>
      </c>
      <c r="G77" s="8">
        <v>0</v>
      </c>
      <c r="H77" s="9">
        <v>59.42</v>
      </c>
      <c r="J77" s="42" t="s">
        <v>146</v>
      </c>
    </row>
    <row r="78" spans="1:10" ht="48.4">
      <c r="A78" s="10" t="s">
        <v>14</v>
      </c>
      <c r="B78" s="47" t="s">
        <v>81</v>
      </c>
      <c r="C78" s="47"/>
      <c r="D78" s="10" t="s">
        <v>82</v>
      </c>
      <c r="E78" s="10" t="s">
        <v>17</v>
      </c>
      <c r="F78" s="11">
        <v>49.932000000000002</v>
      </c>
      <c r="G78" s="12">
        <v>0</v>
      </c>
      <c r="H78" s="13">
        <v>49.932000000000002</v>
      </c>
    </row>
    <row r="79" spans="1:10" ht="16.149999999999999">
      <c r="A79" s="10" t="s">
        <v>18</v>
      </c>
      <c r="B79" s="47" t="s">
        <v>32</v>
      </c>
      <c r="C79" s="47"/>
      <c r="D79" s="10"/>
      <c r="E79" s="10" t="s">
        <v>17</v>
      </c>
      <c r="F79" s="11">
        <v>0</v>
      </c>
      <c r="G79" s="12">
        <v>0</v>
      </c>
      <c r="H79" s="13">
        <v>0</v>
      </c>
    </row>
    <row r="80" spans="1:10" ht="48.4">
      <c r="A80" s="10" t="s">
        <v>20</v>
      </c>
      <c r="B80" s="47" t="s">
        <v>75</v>
      </c>
      <c r="C80" s="47"/>
      <c r="D80" s="10" t="s">
        <v>22</v>
      </c>
      <c r="E80" s="10" t="s">
        <v>17</v>
      </c>
      <c r="F80" s="11">
        <v>9.49</v>
      </c>
      <c r="G80" s="12">
        <v>0</v>
      </c>
      <c r="H80" s="13">
        <v>9.49</v>
      </c>
    </row>
    <row r="81" spans="1:10" ht="40.049999999999997" customHeight="1">
      <c r="A81" s="6" t="s">
        <v>80</v>
      </c>
      <c r="B81" s="6" t="s">
        <v>10</v>
      </c>
      <c r="C81" s="6" t="s">
        <v>11</v>
      </c>
      <c r="D81" s="6" t="s">
        <v>12</v>
      </c>
      <c r="E81" s="6" t="s">
        <v>13</v>
      </c>
      <c r="F81" s="7">
        <v>79.569999999999993</v>
      </c>
      <c r="G81" s="8">
        <v>0</v>
      </c>
      <c r="H81" s="9">
        <v>79.569999999999993</v>
      </c>
      <c r="J81" s="43" t="s">
        <v>146</v>
      </c>
    </row>
    <row r="82" spans="1:10" ht="48.4">
      <c r="A82" s="10" t="s">
        <v>14</v>
      </c>
      <c r="B82" s="47" t="s">
        <v>68</v>
      </c>
      <c r="C82" s="47"/>
      <c r="D82" s="10" t="s">
        <v>69</v>
      </c>
      <c r="E82" s="10" t="s">
        <v>17</v>
      </c>
      <c r="F82" s="11">
        <v>75.774000000000001</v>
      </c>
      <c r="G82" s="12">
        <v>0</v>
      </c>
      <c r="H82" s="13">
        <v>75.774000000000001</v>
      </c>
    </row>
    <row r="83" spans="1:10" ht="16.149999999999999">
      <c r="A83" s="10" t="s">
        <v>18</v>
      </c>
      <c r="B83" s="47" t="s">
        <v>32</v>
      </c>
      <c r="C83" s="47"/>
      <c r="D83" s="10"/>
      <c r="E83" s="10" t="s">
        <v>17</v>
      </c>
      <c r="F83" s="11">
        <v>0</v>
      </c>
      <c r="G83" s="12">
        <v>0</v>
      </c>
      <c r="H83" s="13">
        <v>0</v>
      </c>
    </row>
    <row r="84" spans="1:10" ht="48.4">
      <c r="A84" s="10" t="s">
        <v>20</v>
      </c>
      <c r="B84" s="47" t="s">
        <v>84</v>
      </c>
      <c r="C84" s="47"/>
      <c r="D84" s="10" t="s">
        <v>22</v>
      </c>
      <c r="E84" s="10" t="s">
        <v>17</v>
      </c>
      <c r="F84" s="11">
        <v>3.7959999999999998</v>
      </c>
      <c r="G84" s="12">
        <v>0</v>
      </c>
      <c r="H84" s="13">
        <v>3.7959999999999998</v>
      </c>
    </row>
    <row r="85" spans="1:10" ht="40.049999999999997" customHeight="1">
      <c r="A85" s="6" t="s">
        <v>83</v>
      </c>
      <c r="B85" s="6" t="s">
        <v>10</v>
      </c>
      <c r="C85" s="6" t="s">
        <v>11</v>
      </c>
      <c r="D85" s="6" t="s">
        <v>12</v>
      </c>
      <c r="E85" s="6" t="s">
        <v>13</v>
      </c>
      <c r="F85" s="7">
        <v>92.35</v>
      </c>
      <c r="G85" s="8">
        <v>0</v>
      </c>
      <c r="H85" s="9">
        <v>92.35</v>
      </c>
      <c r="J85" s="44" t="s">
        <v>146</v>
      </c>
    </row>
    <row r="86" spans="1:10" ht="48.4">
      <c r="A86" s="10" t="s">
        <v>14</v>
      </c>
      <c r="B86" s="47" t="s">
        <v>71</v>
      </c>
      <c r="C86" s="47"/>
      <c r="D86" s="10" t="s">
        <v>72</v>
      </c>
      <c r="E86" s="10" t="s">
        <v>17</v>
      </c>
      <c r="F86" s="11">
        <v>83.804000000000002</v>
      </c>
      <c r="G86" s="12">
        <v>0</v>
      </c>
      <c r="H86" s="13">
        <v>83.804000000000002</v>
      </c>
    </row>
    <row r="87" spans="1:10" ht="16.149999999999999">
      <c r="A87" s="10" t="s">
        <v>18</v>
      </c>
      <c r="B87" s="47" t="s">
        <v>32</v>
      </c>
      <c r="C87" s="47"/>
      <c r="D87" s="10"/>
      <c r="E87" s="10" t="s">
        <v>17</v>
      </c>
      <c r="F87" s="11">
        <v>0</v>
      </c>
      <c r="G87" s="12">
        <v>0</v>
      </c>
      <c r="H87" s="13">
        <v>0</v>
      </c>
    </row>
    <row r="88" spans="1:10" ht="48.4">
      <c r="A88" s="10" t="s">
        <v>20</v>
      </c>
      <c r="B88" s="47" t="s">
        <v>73</v>
      </c>
      <c r="C88" s="47"/>
      <c r="D88" s="10" t="s">
        <v>22</v>
      </c>
      <c r="E88" s="10" t="s">
        <v>17</v>
      </c>
      <c r="F88" s="11">
        <v>8.5410000000000004</v>
      </c>
      <c r="G88" s="12">
        <v>0</v>
      </c>
      <c r="H88" s="13">
        <v>8.5410000000000004</v>
      </c>
    </row>
    <row r="89" spans="1:10" ht="40.049999999999997" customHeight="1">
      <c r="A89" s="6" t="s">
        <v>86</v>
      </c>
      <c r="B89" s="6" t="s">
        <v>10</v>
      </c>
      <c r="C89" s="6" t="s">
        <v>11</v>
      </c>
      <c r="D89" s="6" t="s">
        <v>12</v>
      </c>
      <c r="E89" s="6" t="s">
        <v>87</v>
      </c>
      <c r="F89" s="7">
        <v>16.21</v>
      </c>
      <c r="G89" s="8">
        <v>0</v>
      </c>
      <c r="H89" s="9">
        <v>16.21</v>
      </c>
    </row>
    <row r="90" spans="1:10" ht="32.25">
      <c r="A90" s="10" t="s">
        <v>88</v>
      </c>
      <c r="B90" s="47" t="s">
        <v>89</v>
      </c>
      <c r="C90" s="47"/>
      <c r="D90" s="10" t="s">
        <v>90</v>
      </c>
      <c r="E90" s="10" t="s">
        <v>87</v>
      </c>
      <c r="F90" s="11">
        <v>16.2</v>
      </c>
      <c r="G90" s="12">
        <v>0</v>
      </c>
      <c r="H90" s="13">
        <v>16.2</v>
      </c>
    </row>
    <row r="91" spans="1:10" ht="32.25">
      <c r="A91" s="10" t="s">
        <v>91</v>
      </c>
      <c r="B91" s="47" t="s">
        <v>92</v>
      </c>
      <c r="C91" s="47"/>
      <c r="D91" s="10" t="s">
        <v>93</v>
      </c>
      <c r="E91" s="10" t="s">
        <v>87</v>
      </c>
      <c r="F91" s="11">
        <v>5.0000000000000001E-3</v>
      </c>
      <c r="G91" s="12">
        <v>0</v>
      </c>
      <c r="H91" s="13">
        <v>5.0000000000000001E-3</v>
      </c>
    </row>
    <row r="92" spans="1:10" ht="40.049999999999997" customHeight="1">
      <c r="A92" s="6" t="s">
        <v>94</v>
      </c>
      <c r="B92" s="6" t="s">
        <v>10</v>
      </c>
      <c r="C92" s="6" t="s">
        <v>11</v>
      </c>
      <c r="D92" s="6" t="s">
        <v>12</v>
      </c>
      <c r="E92" s="6" t="s">
        <v>87</v>
      </c>
      <c r="F92" s="7">
        <v>8.11</v>
      </c>
      <c r="G92" s="8">
        <v>0</v>
      </c>
      <c r="H92" s="9">
        <v>8.11</v>
      </c>
    </row>
    <row r="93" spans="1:10" ht="32.25">
      <c r="A93" s="10" t="s">
        <v>88</v>
      </c>
      <c r="B93" s="47" t="s">
        <v>95</v>
      </c>
      <c r="C93" s="47"/>
      <c r="D93" s="10" t="s">
        <v>90</v>
      </c>
      <c r="E93" s="10" t="s">
        <v>87</v>
      </c>
      <c r="F93" s="11">
        <v>8.1</v>
      </c>
      <c r="G93" s="12">
        <v>0</v>
      </c>
      <c r="H93" s="13">
        <v>8.1</v>
      </c>
    </row>
    <row r="94" spans="1:10" ht="32.25">
      <c r="A94" s="10" t="s">
        <v>91</v>
      </c>
      <c r="B94" s="47" t="s">
        <v>92</v>
      </c>
      <c r="C94" s="47"/>
      <c r="D94" s="10" t="s">
        <v>93</v>
      </c>
      <c r="E94" s="10" t="s">
        <v>87</v>
      </c>
      <c r="F94" s="11">
        <v>5.0000000000000001E-3</v>
      </c>
      <c r="G94" s="12">
        <v>0</v>
      </c>
      <c r="H94" s="13">
        <v>5.0000000000000001E-3</v>
      </c>
    </row>
    <row r="95" spans="1:10" ht="40.049999999999997" customHeight="1">
      <c r="A95" s="6" t="s">
        <v>96</v>
      </c>
      <c r="B95" s="6" t="s">
        <v>10</v>
      </c>
      <c r="C95" s="6" t="s">
        <v>11</v>
      </c>
      <c r="D95" s="6" t="s">
        <v>12</v>
      </c>
      <c r="E95" s="6" t="s">
        <v>87</v>
      </c>
      <c r="F95" s="7">
        <v>8.11</v>
      </c>
      <c r="G95" s="8">
        <v>0</v>
      </c>
      <c r="H95" s="9">
        <v>8.11</v>
      </c>
    </row>
    <row r="96" spans="1:10" ht="32.25">
      <c r="A96" s="10" t="s">
        <v>88</v>
      </c>
      <c r="B96" s="47" t="s">
        <v>95</v>
      </c>
      <c r="C96" s="47"/>
      <c r="D96" s="10" t="s">
        <v>90</v>
      </c>
      <c r="E96" s="10" t="s">
        <v>87</v>
      </c>
      <c r="F96" s="11">
        <v>8.1</v>
      </c>
      <c r="G96" s="12">
        <v>0</v>
      </c>
      <c r="H96" s="13">
        <v>8.1</v>
      </c>
    </row>
    <row r="97" spans="1:8" ht="32.25">
      <c r="A97" s="10" t="s">
        <v>91</v>
      </c>
      <c r="B97" s="47" t="s">
        <v>92</v>
      </c>
      <c r="C97" s="47"/>
      <c r="D97" s="10" t="s">
        <v>93</v>
      </c>
      <c r="E97" s="10" t="s">
        <v>87</v>
      </c>
      <c r="F97" s="11">
        <v>5.0000000000000001E-3</v>
      </c>
      <c r="G97" s="12">
        <v>0</v>
      </c>
      <c r="H97" s="13">
        <v>5.0000000000000001E-3</v>
      </c>
    </row>
    <row r="98" spans="1:8" ht="40.049999999999997" customHeight="1">
      <c r="A98" s="6" t="s">
        <v>97</v>
      </c>
      <c r="B98" s="6" t="s">
        <v>10</v>
      </c>
      <c r="C98" s="6" t="s">
        <v>11</v>
      </c>
      <c r="D98" s="6" t="s">
        <v>12</v>
      </c>
      <c r="E98" s="6" t="s">
        <v>98</v>
      </c>
      <c r="F98" s="7">
        <v>73.14</v>
      </c>
      <c r="G98" s="8">
        <v>0</v>
      </c>
      <c r="H98" s="9">
        <v>73.14</v>
      </c>
    </row>
    <row r="99" spans="1:8" ht="32.25">
      <c r="A99" s="10" t="s">
        <v>14</v>
      </c>
      <c r="B99" s="47" t="s">
        <v>99</v>
      </c>
      <c r="C99" s="47"/>
      <c r="D99" s="10" t="s">
        <v>100</v>
      </c>
      <c r="E99" s="10" t="s">
        <v>98</v>
      </c>
      <c r="F99" s="11">
        <v>73.14</v>
      </c>
      <c r="G99" s="12">
        <v>0</v>
      </c>
      <c r="H99" s="13">
        <v>73.14</v>
      </c>
    </row>
    <row r="100" spans="1:8" ht="40.049999999999997" customHeight="1">
      <c r="A100" s="6" t="s">
        <v>101</v>
      </c>
      <c r="B100" s="6" t="s">
        <v>10</v>
      </c>
      <c r="C100" s="6" t="s">
        <v>11</v>
      </c>
      <c r="D100" s="6" t="s">
        <v>12</v>
      </c>
      <c r="E100" s="6" t="s">
        <v>87</v>
      </c>
      <c r="F100" s="7">
        <v>165.89</v>
      </c>
      <c r="G100" s="8">
        <v>0</v>
      </c>
      <c r="H100" s="9">
        <v>165.89</v>
      </c>
    </row>
    <row r="101" spans="1:8" ht="32.25">
      <c r="A101" s="10" t="s">
        <v>88</v>
      </c>
      <c r="B101" s="47" t="s">
        <v>102</v>
      </c>
      <c r="C101" s="47"/>
      <c r="D101" s="10" t="s">
        <v>90</v>
      </c>
      <c r="E101" s="10" t="s">
        <v>87</v>
      </c>
      <c r="F101" s="11">
        <v>165.88800000000001</v>
      </c>
      <c r="G101" s="12">
        <v>0</v>
      </c>
      <c r="H101" s="13">
        <v>165.88800000000001</v>
      </c>
    </row>
    <row r="102" spans="1:8" ht="32.25">
      <c r="A102" s="10" t="s">
        <v>91</v>
      </c>
      <c r="B102" s="47" t="s">
        <v>92</v>
      </c>
      <c r="C102" s="47"/>
      <c r="D102" s="10" t="s">
        <v>93</v>
      </c>
      <c r="E102" s="10" t="s">
        <v>87</v>
      </c>
      <c r="F102" s="11">
        <v>5.0000000000000001E-3</v>
      </c>
      <c r="G102" s="12">
        <v>0</v>
      </c>
      <c r="H102" s="13">
        <v>5.0000000000000001E-3</v>
      </c>
    </row>
    <row r="103" spans="1:8" ht="40.049999999999997" customHeight="1">
      <c r="A103" s="6" t="s">
        <v>103</v>
      </c>
      <c r="B103" s="6" t="s">
        <v>10</v>
      </c>
      <c r="C103" s="6" t="s">
        <v>11</v>
      </c>
      <c r="D103" s="6" t="s">
        <v>12</v>
      </c>
      <c r="E103" s="6" t="s">
        <v>104</v>
      </c>
      <c r="F103" s="7">
        <v>202.39</v>
      </c>
      <c r="G103" s="8">
        <v>0</v>
      </c>
      <c r="H103" s="9">
        <v>202.39</v>
      </c>
    </row>
    <row r="104" spans="1:8" ht="32.25">
      <c r="A104" s="10" t="s">
        <v>105</v>
      </c>
      <c r="B104" s="47" t="s">
        <v>106</v>
      </c>
      <c r="C104" s="47"/>
      <c r="D104" s="10" t="s">
        <v>90</v>
      </c>
      <c r="E104" s="10" t="s">
        <v>104</v>
      </c>
      <c r="F104" s="11">
        <v>165.88800000000001</v>
      </c>
      <c r="G104" s="12">
        <v>0</v>
      </c>
      <c r="H104" s="13">
        <v>165.88800000000001</v>
      </c>
    </row>
    <row r="105" spans="1:8" ht="32.25">
      <c r="A105" s="10" t="s">
        <v>107</v>
      </c>
      <c r="B105" s="47" t="s">
        <v>92</v>
      </c>
      <c r="C105" s="47"/>
      <c r="D105" s="10" t="s">
        <v>108</v>
      </c>
      <c r="E105" s="10" t="s">
        <v>104</v>
      </c>
      <c r="F105" s="11">
        <v>36.5</v>
      </c>
      <c r="G105" s="12">
        <v>0</v>
      </c>
      <c r="H105" s="13">
        <v>36.5</v>
      </c>
    </row>
    <row r="106" spans="1:8" ht="40.049999999999997" customHeight="1">
      <c r="A106" s="48" t="s">
        <v>109</v>
      </c>
      <c r="B106" s="48"/>
      <c r="C106" s="48"/>
      <c r="D106" s="48"/>
      <c r="E106" s="48"/>
      <c r="F106" s="14">
        <f>F103+F100+F98+F95+F92+F89+F85+F81+F77+F73+F69+F65+F61+F57+F53+F49+F45+F41+F37+F33+F29+F25+F21+F17+F12+F7+F3</f>
        <v>7584.6450000000004</v>
      </c>
      <c r="G106" s="15">
        <v>0</v>
      </c>
      <c r="H106" s="16">
        <f>H103+H100+H98+H95+H92+H89+H85+H81+H77+H73+H69+H65+H61+H57+H53+H49+H45+H41+H37+H33+H29+H25+H21+H17+H12+H7+H3</f>
        <v>7584.6450000000004</v>
      </c>
    </row>
    <row r="107" spans="1:8" ht="40.049999999999997" customHeight="1">
      <c r="A107" s="49" t="s">
        <v>109</v>
      </c>
      <c r="B107" s="49"/>
      <c r="C107" s="49"/>
      <c r="D107" s="49"/>
      <c r="E107" s="49"/>
      <c r="F107" s="17">
        <f>F106</f>
        <v>7584.6450000000004</v>
      </c>
      <c r="G107" s="18">
        <v>0</v>
      </c>
      <c r="H107" s="19">
        <f>H106</f>
        <v>7584.6450000000004</v>
      </c>
    </row>
    <row r="108" spans="1:8" ht="16.149999999999999">
      <c r="A108" s="50" t="s">
        <v>110</v>
      </c>
      <c r="B108" s="50"/>
      <c r="C108" s="50"/>
      <c r="D108" s="50"/>
      <c r="E108" s="50"/>
      <c r="F108" s="50"/>
      <c r="G108" s="50"/>
      <c r="H108" s="50"/>
    </row>
  </sheetData>
  <mergeCells count="80">
    <mergeCell ref="A1:H1"/>
    <mergeCell ref="B4:C4"/>
    <mergeCell ref="B5:C5"/>
    <mergeCell ref="B6:C6"/>
    <mergeCell ref="B8:C8"/>
    <mergeCell ref="B9:C9"/>
    <mergeCell ref="B10:C10"/>
    <mergeCell ref="B11:C11"/>
    <mergeCell ref="B13:C13"/>
    <mergeCell ref="B14:C14"/>
    <mergeCell ref="B15:C15"/>
    <mergeCell ref="B16:C16"/>
    <mergeCell ref="B18:C18"/>
    <mergeCell ref="B19:C19"/>
    <mergeCell ref="B20:C20"/>
    <mergeCell ref="B22:C22"/>
    <mergeCell ref="B23:C23"/>
    <mergeCell ref="B24:C24"/>
    <mergeCell ref="B26:C26"/>
    <mergeCell ref="B27:C27"/>
    <mergeCell ref="B28:C28"/>
    <mergeCell ref="B30:C30"/>
    <mergeCell ref="B31:C31"/>
    <mergeCell ref="B32:C32"/>
    <mergeCell ref="B34:C34"/>
    <mergeCell ref="B35:C35"/>
    <mergeCell ref="B36:C36"/>
    <mergeCell ref="B38:C38"/>
    <mergeCell ref="B39:C39"/>
    <mergeCell ref="B40:C40"/>
    <mergeCell ref="B42:C42"/>
    <mergeCell ref="B43:C43"/>
    <mergeCell ref="B44:C44"/>
    <mergeCell ref="B46:C46"/>
    <mergeCell ref="B47:C47"/>
    <mergeCell ref="B48:C48"/>
    <mergeCell ref="B50:C50"/>
    <mergeCell ref="B51:C51"/>
    <mergeCell ref="B52:C52"/>
    <mergeCell ref="B54:C54"/>
    <mergeCell ref="B55:C55"/>
    <mergeCell ref="B56:C56"/>
    <mergeCell ref="B58:C58"/>
    <mergeCell ref="B59:C59"/>
    <mergeCell ref="B60:C60"/>
    <mergeCell ref="B62:C62"/>
    <mergeCell ref="B63:C63"/>
    <mergeCell ref="B64:C64"/>
    <mergeCell ref="B66:C66"/>
    <mergeCell ref="B67:C67"/>
    <mergeCell ref="B68:C68"/>
    <mergeCell ref="B70:C70"/>
    <mergeCell ref="B71:C71"/>
    <mergeCell ref="B72:C72"/>
    <mergeCell ref="B74:C74"/>
    <mergeCell ref="B75:C75"/>
    <mergeCell ref="B76:C76"/>
    <mergeCell ref="B78:C78"/>
    <mergeCell ref="B79:C79"/>
    <mergeCell ref="B80:C80"/>
    <mergeCell ref="B82:C82"/>
    <mergeCell ref="B83:C83"/>
    <mergeCell ref="B84:C84"/>
    <mergeCell ref="B86:C86"/>
    <mergeCell ref="B87:C87"/>
    <mergeCell ref="B88:C88"/>
    <mergeCell ref="B90:C90"/>
    <mergeCell ref="B91:C91"/>
    <mergeCell ref="B93:C93"/>
    <mergeCell ref="B94:C94"/>
    <mergeCell ref="B96:C96"/>
    <mergeCell ref="B97:C97"/>
    <mergeCell ref="B99:C99"/>
    <mergeCell ref="B101:C101"/>
    <mergeCell ref="B102:C102"/>
    <mergeCell ref="B104:C104"/>
    <mergeCell ref="B105:C105"/>
    <mergeCell ref="A106:E106"/>
    <mergeCell ref="A107:E107"/>
    <mergeCell ref="A108:H108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2"/>
  <sheetViews>
    <sheetView zoomScale="75" zoomScaleNormal="75" workbookViewId="0"/>
  </sheetViews>
  <sheetFormatPr defaultColWidth="8.86328125" defaultRowHeight="14.25"/>
  <cols>
    <col min="1" max="1" width="30" customWidth="1"/>
    <col min="2" max="2" width="20" customWidth="1"/>
    <col min="3" max="5" width="22" customWidth="1"/>
    <col min="6" max="7" width="20" customWidth="1"/>
    <col min="8" max="8" width="50" customWidth="1"/>
    <col min="9" max="9" width="20" customWidth="1"/>
    <col min="10" max="13" width="22" customWidth="1"/>
  </cols>
  <sheetData>
    <row r="1" spans="1:13" s="1" customFormat="1" ht="50" customHeight="1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</row>
    <row r="2" spans="1:13" s="2" customFormat="1" ht="50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111</v>
      </c>
      <c r="G2" s="3" t="s">
        <v>112</v>
      </c>
      <c r="H2" s="3" t="s">
        <v>113</v>
      </c>
      <c r="I2" s="4" t="s">
        <v>114</v>
      </c>
      <c r="J2" s="4" t="s">
        <v>115</v>
      </c>
      <c r="K2" s="4" t="s">
        <v>6</v>
      </c>
      <c r="L2" s="4" t="s">
        <v>7</v>
      </c>
      <c r="M2" s="5" t="s">
        <v>8</v>
      </c>
    </row>
    <row r="3" spans="1:13" ht="100.05" customHeight="1">
      <c r="A3" s="6" t="s">
        <v>9</v>
      </c>
      <c r="B3" s="6" t="s">
        <v>10</v>
      </c>
      <c r="C3" s="6" t="s">
        <v>11</v>
      </c>
      <c r="D3" s="6" t="s">
        <v>12</v>
      </c>
      <c r="E3" s="6">
        <v>730</v>
      </c>
      <c r="F3" s="6" t="s">
        <v>116</v>
      </c>
      <c r="G3" s="6">
        <v>1</v>
      </c>
      <c r="H3" s="6" t="s">
        <v>117</v>
      </c>
      <c r="I3" s="20">
        <v>252.58</v>
      </c>
      <c r="J3" s="20">
        <v>252.58</v>
      </c>
      <c r="K3" s="20">
        <v>252.58</v>
      </c>
      <c r="L3" s="21">
        <v>0</v>
      </c>
      <c r="M3" s="22">
        <v>252.58</v>
      </c>
    </row>
    <row r="4" spans="1:13" ht="100.05" customHeight="1">
      <c r="A4" s="6" t="s">
        <v>23</v>
      </c>
      <c r="B4" s="6" t="s">
        <v>10</v>
      </c>
      <c r="C4" s="6" t="s">
        <v>11</v>
      </c>
      <c r="D4" s="6" t="s">
        <v>12</v>
      </c>
      <c r="E4" s="6">
        <v>730</v>
      </c>
      <c r="F4" s="6" t="s">
        <v>116</v>
      </c>
      <c r="G4" s="6">
        <v>1</v>
      </c>
      <c r="H4" s="6" t="s">
        <v>118</v>
      </c>
      <c r="I4" s="20">
        <v>1331.52</v>
      </c>
      <c r="J4" s="20">
        <v>1331.52</v>
      </c>
      <c r="K4" s="20">
        <v>1331.52</v>
      </c>
      <c r="L4" s="21">
        <v>0</v>
      </c>
      <c r="M4" s="22">
        <v>1331.52</v>
      </c>
    </row>
    <row r="5" spans="1:13" ht="100.05" customHeight="1">
      <c r="A5" s="6" t="s">
        <v>29</v>
      </c>
      <c r="B5" s="6" t="s">
        <v>10</v>
      </c>
      <c r="C5" s="6" t="s">
        <v>11</v>
      </c>
      <c r="D5" s="6" t="s">
        <v>12</v>
      </c>
      <c r="E5" s="6">
        <v>730</v>
      </c>
      <c r="F5" s="6" t="s">
        <v>116</v>
      </c>
      <c r="G5" s="6">
        <v>1</v>
      </c>
      <c r="H5" s="6" t="s">
        <v>119</v>
      </c>
      <c r="I5" s="20">
        <v>510.27</v>
      </c>
      <c r="J5" s="20">
        <v>510.27</v>
      </c>
      <c r="K5" s="20">
        <v>510.27</v>
      </c>
      <c r="L5" s="21">
        <v>0</v>
      </c>
      <c r="M5" s="22">
        <v>510.27</v>
      </c>
    </row>
    <row r="6" spans="1:13" ht="100.05" customHeight="1">
      <c r="A6" s="6" t="s">
        <v>34</v>
      </c>
      <c r="B6" s="6" t="s">
        <v>10</v>
      </c>
      <c r="C6" s="6" t="s">
        <v>11</v>
      </c>
      <c r="D6" s="6" t="s">
        <v>12</v>
      </c>
      <c r="E6" s="6">
        <v>730</v>
      </c>
      <c r="F6" s="6" t="s">
        <v>116</v>
      </c>
      <c r="G6" s="6">
        <v>1</v>
      </c>
      <c r="H6" s="6" t="s">
        <v>120</v>
      </c>
      <c r="I6" s="20">
        <v>1436.93</v>
      </c>
      <c r="J6" s="20">
        <v>1436.93</v>
      </c>
      <c r="K6" s="20">
        <v>1436.93</v>
      </c>
      <c r="L6" s="21">
        <v>0</v>
      </c>
      <c r="M6" s="22">
        <v>1436.93</v>
      </c>
    </row>
    <row r="7" spans="1:13" ht="100.05" customHeight="1">
      <c r="A7" s="6" t="s">
        <v>38</v>
      </c>
      <c r="B7" s="6" t="s">
        <v>10</v>
      </c>
      <c r="C7" s="6" t="s">
        <v>11</v>
      </c>
      <c r="D7" s="6" t="s">
        <v>12</v>
      </c>
      <c r="E7" s="6">
        <v>730</v>
      </c>
      <c r="F7" s="6" t="s">
        <v>116</v>
      </c>
      <c r="G7" s="6">
        <v>1</v>
      </c>
      <c r="H7" s="6" t="s">
        <v>121</v>
      </c>
      <c r="I7" s="20">
        <v>1832.08</v>
      </c>
      <c r="J7" s="20">
        <v>1832.08</v>
      </c>
      <c r="K7" s="20">
        <v>1832.08</v>
      </c>
      <c r="L7" s="21">
        <v>0</v>
      </c>
      <c r="M7" s="22">
        <v>1832.08</v>
      </c>
    </row>
    <row r="8" spans="1:13" ht="100.05" customHeight="1">
      <c r="A8" s="6" t="s">
        <v>42</v>
      </c>
      <c r="B8" s="6" t="s">
        <v>10</v>
      </c>
      <c r="C8" s="6" t="s">
        <v>11</v>
      </c>
      <c r="D8" s="6" t="s">
        <v>12</v>
      </c>
      <c r="E8" s="6">
        <v>730</v>
      </c>
      <c r="F8" s="6" t="s">
        <v>116</v>
      </c>
      <c r="G8" s="6">
        <v>1</v>
      </c>
      <c r="H8" s="6" t="s">
        <v>122</v>
      </c>
      <c r="I8" s="20">
        <v>255.28</v>
      </c>
      <c r="J8" s="20">
        <v>255.28</v>
      </c>
      <c r="K8" s="20">
        <v>255.28</v>
      </c>
      <c r="L8" s="21">
        <v>0</v>
      </c>
      <c r="M8" s="22">
        <v>255.28</v>
      </c>
    </row>
    <row r="9" spans="1:13" ht="100.05" customHeight="1">
      <c r="A9" s="6" t="s">
        <v>46</v>
      </c>
      <c r="B9" s="6" t="s">
        <v>10</v>
      </c>
      <c r="C9" s="6" t="s">
        <v>11</v>
      </c>
      <c r="D9" s="6" t="s">
        <v>12</v>
      </c>
      <c r="E9" s="6">
        <v>730</v>
      </c>
      <c r="F9" s="6" t="s">
        <v>116</v>
      </c>
      <c r="G9" s="6">
        <v>1</v>
      </c>
      <c r="H9" s="6" t="s">
        <v>123</v>
      </c>
      <c r="I9" s="20">
        <v>47.01</v>
      </c>
      <c r="J9" s="20">
        <v>47.01</v>
      </c>
      <c r="K9" s="20">
        <v>47.01</v>
      </c>
      <c r="L9" s="21">
        <v>0</v>
      </c>
      <c r="M9" s="22">
        <v>47.01</v>
      </c>
    </row>
    <row r="10" spans="1:13" ht="100.05" customHeight="1">
      <c r="A10" s="6" t="s">
        <v>49</v>
      </c>
      <c r="B10" s="6" t="s">
        <v>10</v>
      </c>
      <c r="C10" s="6" t="s">
        <v>11</v>
      </c>
      <c r="D10" s="6" t="s">
        <v>12</v>
      </c>
      <c r="E10" s="6">
        <v>730</v>
      </c>
      <c r="F10" s="6" t="s">
        <v>116</v>
      </c>
      <c r="G10" s="6">
        <v>1</v>
      </c>
      <c r="H10" s="6" t="s">
        <v>124</v>
      </c>
      <c r="I10" s="20">
        <v>91.88</v>
      </c>
      <c r="J10" s="20">
        <v>91.88</v>
      </c>
      <c r="K10" s="20">
        <v>91.88</v>
      </c>
      <c r="L10" s="21">
        <v>0</v>
      </c>
      <c r="M10" s="22">
        <v>91.88</v>
      </c>
    </row>
    <row r="11" spans="1:13" ht="100.05" customHeight="1">
      <c r="A11" s="6" t="s">
        <v>53</v>
      </c>
      <c r="B11" s="6" t="s">
        <v>10</v>
      </c>
      <c r="C11" s="6" t="s">
        <v>11</v>
      </c>
      <c r="D11" s="6" t="s">
        <v>12</v>
      </c>
      <c r="E11" s="6">
        <v>730</v>
      </c>
      <c r="F11" s="6" t="s">
        <v>116</v>
      </c>
      <c r="G11" s="6">
        <v>1</v>
      </c>
      <c r="H11" s="6" t="s">
        <v>125</v>
      </c>
      <c r="I11" s="20">
        <v>116.26</v>
      </c>
      <c r="J11" s="20">
        <v>116.26</v>
      </c>
      <c r="K11" s="20">
        <v>116.26</v>
      </c>
      <c r="L11" s="21">
        <v>0</v>
      </c>
      <c r="M11" s="22">
        <v>116.26</v>
      </c>
    </row>
    <row r="12" spans="1:13" ht="100.05" customHeight="1">
      <c r="A12" s="6" t="s">
        <v>57</v>
      </c>
      <c r="B12" s="6" t="s">
        <v>10</v>
      </c>
      <c r="C12" s="6" t="s">
        <v>11</v>
      </c>
      <c r="D12" s="6" t="s">
        <v>12</v>
      </c>
      <c r="E12" s="6">
        <v>730</v>
      </c>
      <c r="F12" s="6" t="s">
        <v>116</v>
      </c>
      <c r="G12" s="6">
        <v>1</v>
      </c>
      <c r="H12" s="6" t="s">
        <v>126</v>
      </c>
      <c r="I12" s="20">
        <v>152.21</v>
      </c>
      <c r="J12" s="20">
        <v>152.21</v>
      </c>
      <c r="K12" s="20">
        <v>152.21</v>
      </c>
      <c r="L12" s="21">
        <v>0</v>
      </c>
      <c r="M12" s="22">
        <v>152.21</v>
      </c>
    </row>
    <row r="13" spans="1:13" ht="100.05" customHeight="1">
      <c r="A13" s="6" t="s">
        <v>61</v>
      </c>
      <c r="B13" s="6" t="s">
        <v>10</v>
      </c>
      <c r="C13" s="6" t="s">
        <v>11</v>
      </c>
      <c r="D13" s="6" t="s">
        <v>12</v>
      </c>
      <c r="E13" s="6">
        <v>730</v>
      </c>
      <c r="F13" s="6" t="s">
        <v>116</v>
      </c>
      <c r="G13" s="6">
        <v>1</v>
      </c>
      <c r="H13" s="6" t="s">
        <v>127</v>
      </c>
      <c r="I13" s="20">
        <v>44.17</v>
      </c>
      <c r="J13" s="20">
        <v>44.17</v>
      </c>
      <c r="K13" s="20">
        <v>44.17</v>
      </c>
      <c r="L13" s="21">
        <v>0</v>
      </c>
      <c r="M13" s="22">
        <v>44.17</v>
      </c>
    </row>
    <row r="14" spans="1:13" ht="100.05" customHeight="1">
      <c r="A14" s="6" t="s">
        <v>63</v>
      </c>
      <c r="B14" s="6" t="s">
        <v>10</v>
      </c>
      <c r="C14" s="6" t="s">
        <v>11</v>
      </c>
      <c r="D14" s="6" t="s">
        <v>12</v>
      </c>
      <c r="E14" s="6">
        <v>730</v>
      </c>
      <c r="F14" s="6" t="s">
        <v>116</v>
      </c>
      <c r="G14" s="6">
        <v>1</v>
      </c>
      <c r="H14" s="6" t="s">
        <v>128</v>
      </c>
      <c r="I14" s="20">
        <v>51.61</v>
      </c>
      <c r="J14" s="20">
        <v>51.61</v>
      </c>
      <c r="K14" s="20">
        <v>51.61</v>
      </c>
      <c r="L14" s="21">
        <v>0</v>
      </c>
      <c r="M14" s="22">
        <v>51.61</v>
      </c>
    </row>
    <row r="15" spans="1:13" ht="100.05" customHeight="1">
      <c r="A15" s="6" t="s">
        <v>67</v>
      </c>
      <c r="B15" s="6" t="s">
        <v>10</v>
      </c>
      <c r="C15" s="6" t="s">
        <v>11</v>
      </c>
      <c r="D15" s="6" t="s">
        <v>12</v>
      </c>
      <c r="E15" s="6">
        <v>730</v>
      </c>
      <c r="F15" s="6" t="s">
        <v>116</v>
      </c>
      <c r="G15" s="6">
        <v>1</v>
      </c>
      <c r="H15" s="6" t="s">
        <v>129</v>
      </c>
      <c r="I15" s="20">
        <v>81.47</v>
      </c>
      <c r="J15" s="20">
        <v>81.47</v>
      </c>
      <c r="K15" s="20">
        <v>81.47</v>
      </c>
      <c r="L15" s="21">
        <v>0</v>
      </c>
      <c r="M15" s="22">
        <v>81.47</v>
      </c>
    </row>
    <row r="16" spans="1:13" ht="100.05" customHeight="1">
      <c r="A16" s="6" t="s">
        <v>70</v>
      </c>
      <c r="B16" s="6" t="s">
        <v>10</v>
      </c>
      <c r="C16" s="6" t="s">
        <v>11</v>
      </c>
      <c r="D16" s="6" t="s">
        <v>12</v>
      </c>
      <c r="E16" s="6">
        <v>730</v>
      </c>
      <c r="F16" s="6" t="s">
        <v>116</v>
      </c>
      <c r="G16" s="6">
        <v>1</v>
      </c>
      <c r="H16" s="6" t="s">
        <v>130</v>
      </c>
      <c r="I16" s="20">
        <v>92.35</v>
      </c>
      <c r="J16" s="20">
        <v>92.35</v>
      </c>
      <c r="K16" s="20">
        <v>92.35</v>
      </c>
      <c r="L16" s="21">
        <v>0</v>
      </c>
      <c r="M16" s="22">
        <v>92.35</v>
      </c>
    </row>
    <row r="17" spans="1:13" ht="100.05" customHeight="1">
      <c r="A17" s="6" t="s">
        <v>74</v>
      </c>
      <c r="B17" s="6" t="s">
        <v>10</v>
      </c>
      <c r="C17" s="6" t="s">
        <v>11</v>
      </c>
      <c r="D17" s="6" t="s">
        <v>12</v>
      </c>
      <c r="E17" s="6">
        <v>730</v>
      </c>
      <c r="F17" s="6" t="s">
        <v>116</v>
      </c>
      <c r="G17" s="6">
        <v>1</v>
      </c>
      <c r="H17" s="6" t="s">
        <v>131</v>
      </c>
      <c r="I17" s="20">
        <v>93.29</v>
      </c>
      <c r="J17" s="20">
        <v>93.29</v>
      </c>
      <c r="K17" s="20">
        <v>93.29</v>
      </c>
      <c r="L17" s="21">
        <v>0</v>
      </c>
      <c r="M17" s="22">
        <v>93.29</v>
      </c>
    </row>
    <row r="18" spans="1:13" ht="100.05" customHeight="1">
      <c r="A18" s="6" t="s">
        <v>76</v>
      </c>
      <c r="B18" s="6" t="s">
        <v>10</v>
      </c>
      <c r="C18" s="6" t="s">
        <v>11</v>
      </c>
      <c r="D18" s="6" t="s">
        <v>12</v>
      </c>
      <c r="E18" s="6">
        <v>730</v>
      </c>
      <c r="F18" s="6" t="s">
        <v>116</v>
      </c>
      <c r="G18" s="6">
        <v>1</v>
      </c>
      <c r="H18" s="6" t="s">
        <v>131</v>
      </c>
      <c r="I18" s="20">
        <v>93.29</v>
      </c>
      <c r="J18" s="20">
        <v>93.29</v>
      </c>
      <c r="K18" s="20">
        <v>93.29</v>
      </c>
      <c r="L18" s="21">
        <v>0</v>
      </c>
      <c r="M18" s="22">
        <v>93.29</v>
      </c>
    </row>
    <row r="19" spans="1:13" ht="100.05" customHeight="1">
      <c r="A19" s="6" t="s">
        <v>77</v>
      </c>
      <c r="B19" s="6" t="s">
        <v>10</v>
      </c>
      <c r="C19" s="6" t="s">
        <v>11</v>
      </c>
      <c r="D19" s="6" t="s">
        <v>12</v>
      </c>
      <c r="E19" s="6">
        <v>730</v>
      </c>
      <c r="F19" s="6" t="s">
        <v>116</v>
      </c>
      <c r="G19" s="6">
        <v>1</v>
      </c>
      <c r="H19" s="6" t="s">
        <v>131</v>
      </c>
      <c r="I19" s="20">
        <v>93.29</v>
      </c>
      <c r="J19" s="20">
        <v>93.29</v>
      </c>
      <c r="K19" s="20">
        <v>93.29</v>
      </c>
      <c r="L19" s="21">
        <v>0</v>
      </c>
      <c r="M19" s="22">
        <v>93.29</v>
      </c>
    </row>
    <row r="20" spans="1:13" ht="100.05" customHeight="1">
      <c r="A20" s="6" t="s">
        <v>78</v>
      </c>
      <c r="B20" s="6" t="s">
        <v>10</v>
      </c>
      <c r="C20" s="6" t="s">
        <v>11</v>
      </c>
      <c r="D20" s="6" t="s">
        <v>12</v>
      </c>
      <c r="E20" s="6">
        <v>730</v>
      </c>
      <c r="F20" s="6" t="s">
        <v>116</v>
      </c>
      <c r="G20" s="6">
        <v>1</v>
      </c>
      <c r="H20" s="6" t="s">
        <v>132</v>
      </c>
      <c r="I20" s="20">
        <v>95.19</v>
      </c>
      <c r="J20" s="20">
        <v>95.19</v>
      </c>
      <c r="K20" s="20">
        <v>95.19</v>
      </c>
      <c r="L20" s="21">
        <v>0</v>
      </c>
      <c r="M20" s="22">
        <v>95.19</v>
      </c>
    </row>
    <row r="21" spans="1:13" ht="100.05" customHeight="1">
      <c r="A21" s="6" t="s">
        <v>80</v>
      </c>
      <c r="B21" s="6" t="s">
        <v>10</v>
      </c>
      <c r="C21" s="6" t="s">
        <v>11</v>
      </c>
      <c r="D21" s="6" t="s">
        <v>12</v>
      </c>
      <c r="E21" s="6">
        <v>730</v>
      </c>
      <c r="F21" s="6" t="s">
        <v>116</v>
      </c>
      <c r="G21" s="6">
        <v>1</v>
      </c>
      <c r="H21" s="6" t="s">
        <v>133</v>
      </c>
      <c r="I21" s="20">
        <v>59.42</v>
      </c>
      <c r="J21" s="20">
        <v>59.42</v>
      </c>
      <c r="K21" s="20">
        <v>59.42</v>
      </c>
      <c r="L21" s="21">
        <v>0</v>
      </c>
      <c r="M21" s="22">
        <v>59.42</v>
      </c>
    </row>
    <row r="22" spans="1:13" ht="100.05" customHeight="1">
      <c r="A22" s="6" t="s">
        <v>83</v>
      </c>
      <c r="B22" s="6" t="s">
        <v>10</v>
      </c>
      <c r="C22" s="6" t="s">
        <v>11</v>
      </c>
      <c r="D22" s="6" t="s">
        <v>12</v>
      </c>
      <c r="E22" s="6">
        <v>730</v>
      </c>
      <c r="F22" s="6" t="s">
        <v>116</v>
      </c>
      <c r="G22" s="6">
        <v>1</v>
      </c>
      <c r="H22" s="6" t="s">
        <v>134</v>
      </c>
      <c r="I22" s="20">
        <v>79.569999999999993</v>
      </c>
      <c r="J22" s="20">
        <v>79.569999999999993</v>
      </c>
      <c r="K22" s="20">
        <v>79.569999999999993</v>
      </c>
      <c r="L22" s="21">
        <v>0</v>
      </c>
      <c r="M22" s="22">
        <v>79.569999999999993</v>
      </c>
    </row>
    <row r="23" spans="1:13" ht="100.05" customHeight="1">
      <c r="A23" s="6" t="s">
        <v>85</v>
      </c>
      <c r="B23" s="6" t="s">
        <v>10</v>
      </c>
      <c r="C23" s="6" t="s">
        <v>11</v>
      </c>
      <c r="D23" s="6" t="s">
        <v>12</v>
      </c>
      <c r="E23" s="6">
        <v>730</v>
      </c>
      <c r="F23" s="6" t="s">
        <v>116</v>
      </c>
      <c r="G23" s="6">
        <v>1</v>
      </c>
      <c r="H23" s="6" t="s">
        <v>130</v>
      </c>
      <c r="I23" s="20">
        <v>92.35</v>
      </c>
      <c r="J23" s="20">
        <v>92.35</v>
      </c>
      <c r="K23" s="20">
        <v>92.35</v>
      </c>
      <c r="L23" s="21">
        <v>0</v>
      </c>
      <c r="M23" s="22">
        <v>92.35</v>
      </c>
    </row>
    <row r="24" spans="1:13" ht="100.05" customHeight="1">
      <c r="A24" s="6" t="s">
        <v>86</v>
      </c>
      <c r="B24" s="6" t="s">
        <v>10</v>
      </c>
      <c r="C24" s="6" t="s">
        <v>11</v>
      </c>
      <c r="D24" s="6" t="s">
        <v>12</v>
      </c>
      <c r="E24" s="6">
        <v>1</v>
      </c>
      <c r="F24" s="6" t="s">
        <v>135</v>
      </c>
      <c r="G24" s="6">
        <v>1</v>
      </c>
      <c r="H24" s="6" t="s">
        <v>136</v>
      </c>
      <c r="I24" s="20">
        <v>16.21</v>
      </c>
      <c r="J24" s="20">
        <v>16.21</v>
      </c>
      <c r="K24" s="20">
        <v>16.21</v>
      </c>
      <c r="L24" s="21">
        <v>0</v>
      </c>
      <c r="M24" s="22">
        <v>16.21</v>
      </c>
    </row>
    <row r="25" spans="1:13" ht="100.05" customHeight="1">
      <c r="A25" s="6" t="s">
        <v>94</v>
      </c>
      <c r="B25" s="6" t="s">
        <v>10</v>
      </c>
      <c r="C25" s="6" t="s">
        <v>11</v>
      </c>
      <c r="D25" s="6" t="s">
        <v>12</v>
      </c>
      <c r="E25" s="6">
        <v>1</v>
      </c>
      <c r="F25" s="6" t="s">
        <v>135</v>
      </c>
      <c r="G25" s="6">
        <v>1</v>
      </c>
      <c r="H25" s="6" t="s">
        <v>137</v>
      </c>
      <c r="I25" s="20">
        <v>8.11</v>
      </c>
      <c r="J25" s="20">
        <v>8.11</v>
      </c>
      <c r="K25" s="20">
        <v>8.11</v>
      </c>
      <c r="L25" s="21">
        <v>0</v>
      </c>
      <c r="M25" s="22">
        <v>8.11</v>
      </c>
    </row>
    <row r="26" spans="1:13" ht="100.05" customHeight="1">
      <c r="A26" s="6" t="s">
        <v>96</v>
      </c>
      <c r="B26" s="6" t="s">
        <v>10</v>
      </c>
      <c r="C26" s="6" t="s">
        <v>11</v>
      </c>
      <c r="D26" s="6" t="s">
        <v>12</v>
      </c>
      <c r="E26" s="6">
        <v>1</v>
      </c>
      <c r="F26" s="6" t="s">
        <v>135</v>
      </c>
      <c r="G26" s="6">
        <v>1</v>
      </c>
      <c r="H26" s="6" t="s">
        <v>137</v>
      </c>
      <c r="I26" s="20">
        <v>8.11</v>
      </c>
      <c r="J26" s="20">
        <v>8.11</v>
      </c>
      <c r="K26" s="20">
        <v>8.11</v>
      </c>
      <c r="L26" s="21">
        <v>0</v>
      </c>
      <c r="M26" s="22">
        <v>8.11</v>
      </c>
    </row>
    <row r="27" spans="1:13" ht="100.05" customHeight="1">
      <c r="A27" s="6" t="s">
        <v>97</v>
      </c>
      <c r="B27" s="6" t="s">
        <v>10</v>
      </c>
      <c r="C27" s="6" t="s">
        <v>11</v>
      </c>
      <c r="D27" s="6" t="s">
        <v>12</v>
      </c>
      <c r="E27" s="6">
        <v>30</v>
      </c>
      <c r="F27" s="6" t="s">
        <v>138</v>
      </c>
      <c r="G27" s="6">
        <v>1</v>
      </c>
      <c r="H27" s="6" t="s">
        <v>139</v>
      </c>
      <c r="I27" s="20">
        <v>73.14</v>
      </c>
      <c r="J27" s="20">
        <v>73.14</v>
      </c>
      <c r="K27" s="20">
        <v>73.14</v>
      </c>
      <c r="L27" s="21">
        <v>0</v>
      </c>
      <c r="M27" s="22">
        <v>73.14</v>
      </c>
    </row>
    <row r="28" spans="1:13" ht="100.05" customHeight="1">
      <c r="A28" s="6" t="s">
        <v>101</v>
      </c>
      <c r="B28" s="6" t="s">
        <v>10</v>
      </c>
      <c r="C28" s="6" t="s">
        <v>11</v>
      </c>
      <c r="D28" s="6" t="s">
        <v>12</v>
      </c>
      <c r="E28" s="6">
        <v>1</v>
      </c>
      <c r="F28" s="6" t="s">
        <v>135</v>
      </c>
      <c r="G28" s="6">
        <v>1</v>
      </c>
      <c r="H28" s="6" t="s">
        <v>140</v>
      </c>
      <c r="I28" s="20">
        <v>165.89</v>
      </c>
      <c r="J28" s="20">
        <v>165.89</v>
      </c>
      <c r="K28" s="20">
        <v>165.89</v>
      </c>
      <c r="L28" s="21">
        <v>0</v>
      </c>
      <c r="M28" s="22">
        <v>165.89</v>
      </c>
    </row>
    <row r="29" spans="1:13" ht="100.05" customHeight="1">
      <c r="A29" s="6" t="s">
        <v>103</v>
      </c>
      <c r="B29" s="6" t="s">
        <v>10</v>
      </c>
      <c r="C29" s="6" t="s">
        <v>11</v>
      </c>
      <c r="D29" s="6" t="s">
        <v>12</v>
      </c>
      <c r="E29" s="6">
        <v>730</v>
      </c>
      <c r="F29" s="6" t="s">
        <v>141</v>
      </c>
      <c r="G29" s="6">
        <v>1</v>
      </c>
      <c r="H29" s="6" t="s">
        <v>142</v>
      </c>
      <c r="I29" s="20">
        <v>202.39</v>
      </c>
      <c r="J29" s="20">
        <v>202.39</v>
      </c>
      <c r="K29" s="20">
        <v>202.39</v>
      </c>
      <c r="L29" s="21">
        <v>0</v>
      </c>
      <c r="M29" s="22">
        <v>202.39</v>
      </c>
    </row>
    <row r="30" spans="1:13" ht="40.049999999999997" customHeight="1">
      <c r="A30" s="52" t="s">
        <v>109</v>
      </c>
      <c r="B30" s="52"/>
      <c r="C30" s="52"/>
      <c r="D30" s="52"/>
      <c r="E30" s="52"/>
      <c r="F30" s="52"/>
      <c r="G30" s="52"/>
      <c r="H30" s="52"/>
      <c r="I30" s="23">
        <v>7375.85</v>
      </c>
      <c r="J30" s="23">
        <v>7375.85</v>
      </c>
      <c r="K30" s="23">
        <v>7375.85</v>
      </c>
      <c r="L30" s="24">
        <v>0</v>
      </c>
      <c r="M30" s="25">
        <v>7375.85</v>
      </c>
    </row>
    <row r="31" spans="1:13" ht="40.049999999999997" customHeight="1">
      <c r="A31" s="53" t="s">
        <v>109</v>
      </c>
      <c r="B31" s="53"/>
      <c r="C31" s="53"/>
      <c r="D31" s="53"/>
      <c r="E31" s="53"/>
      <c r="F31" s="53"/>
      <c r="G31" s="53"/>
      <c r="H31" s="53"/>
      <c r="I31" s="26"/>
      <c r="J31" s="26"/>
      <c r="K31" s="26"/>
      <c r="L31" s="27"/>
      <c r="M31" s="28">
        <v>7375.85</v>
      </c>
    </row>
    <row r="32" spans="1:13" ht="16.149999999999999">
      <c r="A32" s="50" t="s">
        <v>110</v>
      </c>
      <c r="B32" s="50"/>
      <c r="C32" s="50"/>
      <c r="D32" s="50"/>
      <c r="E32" s="50"/>
      <c r="F32" s="50"/>
      <c r="G32" s="50"/>
      <c r="H32" s="50"/>
      <c r="I32" s="50"/>
      <c r="J32" s="50"/>
      <c r="K32" s="50"/>
      <c r="L32" s="50"/>
      <c r="M32" s="50"/>
    </row>
  </sheetData>
  <mergeCells count="4">
    <mergeCell ref="A1:M1"/>
    <mergeCell ref="A30:H30"/>
    <mergeCell ref="A31:H31"/>
    <mergeCell ref="A32:M3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 Calculator (Detailed) Dec</vt:lpstr>
      <vt:lpstr>Price Calculator (Simplified) 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2024-12-02T20:11:02Z</dcterms:created>
  <dcterms:modified xsi:type="dcterms:W3CDTF">2024-12-03T04:43:36Z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1733198610</vt:lpwstr>
  </property>
</Properties>
</file>