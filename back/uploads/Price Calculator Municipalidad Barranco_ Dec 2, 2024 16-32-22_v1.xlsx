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6440" tabRatio="600" firstSheet="0" activeTab="0" autoFilterDateGrouping="1"/>
  </bookViews>
  <sheets>
    <sheet name="Price Calculator (Detailed) De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###"/>
  </numFmts>
  <fonts count="7">
    <font>
      <name val="Calibri"/>
      <family val="2"/>
      <color theme="1"/>
      <sz val="11"/>
      <scheme val="minor"/>
    </font>
    <font>
      <name val="微软雅黑"/>
      <color rgb="FFFFFFF0"/>
      <sz val="14"/>
    </font>
    <font>
      <name val="微软雅黑"/>
      <sz val="12"/>
    </font>
    <font>
      <name val="微软雅黑"/>
      <color rgb="FFCD2626"/>
      <sz val="12"/>
    </font>
    <font>
      <name val="微软雅黑"/>
      <color rgb="FF8F8F8F"/>
      <sz val="12"/>
    </font>
    <font>
      <name val="微软雅黑"/>
      <color rgb="FF00CD00"/>
      <sz val="12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medium">
        <color auto="1"/>
      </bottom>
      <diagonal/>
    </border>
    <border>
      <right style="medium">
        <color rgb="00000000"/>
      </right>
    </border>
    <border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4" fontId="3" fillId="3" borderId="4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4" fontId="2" fillId="4" borderId="5" applyAlignment="1" pivotButton="0" quotePrefix="0" xfId="0">
      <alignment horizontal="right" vertical="center" wrapText="1"/>
    </xf>
    <xf numFmtId="4" fontId="5" fillId="4" borderId="5" applyAlignment="1" pivotButton="0" quotePrefix="0" xfId="0">
      <alignment horizontal="right" vertical="center" wrapText="1"/>
    </xf>
    <xf numFmtId="4" fontId="3" fillId="4" borderId="6" applyAlignment="1" pivotButton="0" quotePrefix="0" xfId="0">
      <alignment horizontal="right" vertical="center" wrapText="1"/>
    </xf>
    <xf numFmtId="4" fontId="2" fillId="3" borderId="5" applyAlignment="1" pivotButton="0" quotePrefix="0" xfId="0">
      <alignment horizontal="right" vertical="center" wrapText="1"/>
    </xf>
    <xf numFmtId="4" fontId="5" fillId="3" borderId="5" applyAlignment="1" pivotButton="0" quotePrefix="0" xfId="0">
      <alignment horizontal="right" vertical="center" wrapText="1"/>
    </xf>
    <xf numFmtId="4" fontId="3" fillId="3" borderId="6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zoomScale="83" zoomScaleNormal="83" workbookViewId="0">
      <selection activeCell="B9" sqref="B9"/>
    </sheetView>
  </sheetViews>
  <sheetFormatPr baseColWidth="10" defaultColWidth="9.06640625" defaultRowHeight="14.25"/>
  <cols>
    <col width="30" customWidth="1" min="1" max="1"/>
    <col width="77.19921875" customWidth="1" min="2" max="2"/>
    <col width="20" customWidth="1" min="3" max="3"/>
  </cols>
  <sheetData>
    <row r="1" ht="50" customFormat="1" customHeight="1" s="1">
      <c r="A1" s="22" t="inlineStr">
        <is>
          <t>Price Calculator Dec 2, 2024 16:32:22</t>
        </is>
      </c>
      <c r="C1" s="25" t="n"/>
    </row>
    <row r="2" ht="50" customFormat="1" customHeight="1" s="2">
      <c r="A2" s="3" t="inlineStr">
        <is>
          <t>Service</t>
        </is>
      </c>
      <c r="B2" s="3" t="inlineStr">
        <is>
          <t>Region</t>
        </is>
      </c>
      <c r="C2" s="5" t="inlineStr">
        <is>
          <t>Pago por Uso (USD)</t>
        </is>
      </c>
      <c r="G2" s="26" t="inlineStr">
        <is>
          <t>Original Price RI (USD)</t>
        </is>
      </c>
    </row>
    <row r="3" ht="40.05" customHeight="1">
      <c r="A3" s="6" t="inlineStr">
        <is>
          <t>Elastic Cloud Server 1</t>
        </is>
      </c>
      <c r="B3" s="6" t="inlineStr">
        <is>
          <t>LA-Santiago</t>
        </is>
      </c>
      <c r="C3" s="7">
        <f>SUM(C4:C5)</f>
        <v/>
      </c>
      <c r="G3" s="26" t="n"/>
    </row>
    <row r="4" ht="32.25" customHeight="1">
      <c r="A4" s="8" t="inlineStr">
        <is>
          <t xml:space="preserve">  Type</t>
        </is>
      </c>
      <c r="B4" s="8" t="inlineStr">
        <is>
          <t>x86 | Memory-optimized | m6.2xlarge.8 | 8 vCPUs | 64GB</t>
        </is>
      </c>
      <c r="C4" s="9" t="n">
        <v>206.59</v>
      </c>
      <c r="G4" s="26" t="n"/>
    </row>
    <row r="5" ht="16.15" customHeight="1">
      <c r="A5" s="8" t="inlineStr">
        <is>
          <t xml:space="preserve">  System Disk</t>
        </is>
      </c>
      <c r="B5" s="8" t="inlineStr">
        <is>
          <t>General Purpose SSD | 512GB</t>
        </is>
      </c>
      <c r="C5" s="9" t="n">
        <v>48.5888</v>
      </c>
      <c r="G5" s="26" t="n"/>
    </row>
    <row r="6" ht="40.05" customHeight="1">
      <c r="A6" s="6" t="inlineStr">
        <is>
          <t xml:space="preserve">Elastic Cloud Server 2 </t>
        </is>
      </c>
      <c r="B6" s="6" t="inlineStr">
        <is>
          <t>LA-Santiago</t>
        </is>
      </c>
      <c r="C6" s="7">
        <f>SUM(C7:C9)</f>
        <v/>
      </c>
      <c r="G6" s="26" t="n"/>
    </row>
    <row r="7" ht="32.25" customHeight="1">
      <c r="A7" s="8" t="inlineStr">
        <is>
          <t xml:space="preserve">  Type</t>
        </is>
      </c>
      <c r="B7" s="8" t="inlineStr">
        <is>
          <t>x86 | Memory-optimized | m6.2xlarge.8 | 8 vCPUs | 64GB</t>
        </is>
      </c>
      <c r="C7" s="9" t="n">
        <v>206.59</v>
      </c>
      <c r="G7" s="26" t="n"/>
    </row>
    <row r="8" ht="16.15" customHeight="1">
      <c r="A8" s="8" t="inlineStr">
        <is>
          <t xml:space="preserve">  System Disk</t>
        </is>
      </c>
      <c r="B8" s="8" t="inlineStr">
        <is>
          <t>General Purpose SSD | 1024GB</t>
        </is>
      </c>
      <c r="C8" s="9" t="n">
        <v>97.1776</v>
      </c>
      <c r="G8" s="26" t="n"/>
    </row>
    <row r="9" ht="16.15" customHeight="1">
      <c r="A9" s="8" t="inlineStr">
        <is>
          <t xml:space="preserve">  Data Disk</t>
        </is>
      </c>
      <c r="B9" s="8" t="inlineStr">
        <is>
          <t>General Purpose SSD | 512GB</t>
        </is>
      </c>
      <c r="C9" s="9" t="n">
        <v>48.5888</v>
      </c>
      <c r="G9" s="26" t="n"/>
    </row>
    <row r="10" ht="40.05" customHeight="1">
      <c r="A10" s="6" t="inlineStr">
        <is>
          <t>Elastic IP 1</t>
        </is>
      </c>
      <c r="B10" s="6" t="inlineStr">
        <is>
          <t>LA-Santiago</t>
        </is>
      </c>
      <c r="C10" s="7">
        <f>SUM(C11:C12)</f>
        <v/>
      </c>
      <c r="G10" s="26" t="n"/>
    </row>
    <row r="11" ht="16.15" customHeight="1">
      <c r="A11" s="8" t="inlineStr">
        <is>
          <t xml:space="preserve">  Bandwidth Price</t>
        </is>
      </c>
      <c r="B11" s="8" t="inlineStr">
        <is>
          <t>Dedicated | Dynamic BGP | Traffic | 512GB</t>
        </is>
      </c>
      <c r="C11" s="9" t="n">
        <v>41.472</v>
      </c>
      <c r="G11" s="26" t="n"/>
    </row>
    <row r="12" ht="16.15" customHeight="1">
      <c r="A12" s="8" t="inlineStr">
        <is>
          <t xml:space="preserve">  EIP Price</t>
        </is>
      </c>
      <c r="B12" s="8" t="inlineStr">
        <is>
          <t xml:space="preserve">1 </t>
        </is>
      </c>
      <c r="C12" s="9" t="n">
        <v>3.65</v>
      </c>
      <c r="G12" s="26" t="n"/>
    </row>
    <row r="13" ht="40.05" customHeight="1">
      <c r="A13" s="6" t="inlineStr">
        <is>
          <t>Elastic IP 2</t>
        </is>
      </c>
      <c r="B13" s="6" t="inlineStr">
        <is>
          <t>LA-Santiago</t>
        </is>
      </c>
      <c r="C13" s="7">
        <f>SUM(C14:C15)</f>
        <v/>
      </c>
      <c r="G13" s="26" t="n"/>
    </row>
    <row r="14" ht="16.15" customHeight="1">
      <c r="A14" s="8" t="inlineStr">
        <is>
          <t xml:space="preserve">  Bandwidth Price</t>
        </is>
      </c>
      <c r="B14" s="8" t="inlineStr">
        <is>
          <t>Dedicated | Dynamic BGP | Traffic | 512GB</t>
        </is>
      </c>
      <c r="C14" s="9" t="n">
        <v>41.472</v>
      </c>
      <c r="G14" s="26" t="n"/>
    </row>
    <row r="15" ht="16.15" customHeight="1">
      <c r="A15" s="8" t="inlineStr">
        <is>
          <t xml:space="preserve">  EIP Price</t>
        </is>
      </c>
      <c r="B15" s="8" t="inlineStr">
        <is>
          <t xml:space="preserve">1 </t>
        </is>
      </c>
      <c r="C15" s="9" t="n">
        <v>3.65</v>
      </c>
      <c r="G15" s="26" t="n"/>
    </row>
    <row r="16" ht="40.05" customHeight="1">
      <c r="A16" s="6" t="inlineStr">
        <is>
          <t>Virtual Private Network 1</t>
        </is>
      </c>
      <c r="B16" s="6" t="inlineStr">
        <is>
          <t>LA-Santiago</t>
        </is>
      </c>
      <c r="C16" s="7">
        <f>SUM(C17:C18)</f>
        <v/>
      </c>
      <c r="G16" s="26" t="n"/>
    </row>
    <row r="17" ht="16.15" customHeight="1">
      <c r="A17" s="8" t="inlineStr">
        <is>
          <t xml:space="preserve">  Routing Type</t>
        </is>
      </c>
      <c r="B17" s="8" t="inlineStr">
        <is>
          <t>Traffic | 512GB</t>
        </is>
      </c>
      <c r="C17" s="9" t="n">
        <v>41.472</v>
      </c>
      <c r="G17" s="26" t="n"/>
    </row>
    <row r="18" ht="16.15" customHeight="1">
      <c r="A18" s="8" t="inlineStr">
        <is>
          <t xml:space="preserve">  VPN Connections</t>
        </is>
      </c>
      <c r="B18" s="8" t="inlineStr">
        <is>
          <t xml:space="preserve">1 </t>
        </is>
      </c>
      <c r="C18" s="9" t="n">
        <v>0.05</v>
      </c>
      <c r="G18" s="26" t="n"/>
    </row>
    <row r="19" ht="40.05" customHeight="1">
      <c r="A19" s="6" t="inlineStr">
        <is>
          <t>Host Security Service 1</t>
        </is>
      </c>
      <c r="B19" s="6" t="inlineStr">
        <is>
          <t>LA-Santiago</t>
        </is>
      </c>
      <c r="C19" s="7" t="n">
        <v>13.8</v>
      </c>
      <c r="G19" s="26" t="n"/>
    </row>
    <row r="20" ht="16.15" customHeight="1">
      <c r="A20" s="8" t="inlineStr">
        <is>
          <t xml:space="preserve">  Edition</t>
        </is>
      </c>
      <c r="B20" s="8" t="inlineStr">
        <is>
          <t>Premium</t>
        </is>
      </c>
      <c r="C20" s="9" t="n">
        <v>13.8</v>
      </c>
      <c r="G20" s="26" t="n"/>
    </row>
    <row r="21" ht="40.05" customHeight="1">
      <c r="A21" s="6" t="inlineStr">
        <is>
          <t>Host Security Service 2</t>
        </is>
      </c>
      <c r="B21" s="6" t="inlineStr">
        <is>
          <t>LA-Santiago</t>
        </is>
      </c>
      <c r="C21" s="7" t="n">
        <v>13.8</v>
      </c>
      <c r="G21" s="26" t="n"/>
    </row>
    <row r="22" ht="16.15" customHeight="1">
      <c r="A22" s="8" t="inlineStr">
        <is>
          <t xml:space="preserve">  Edition</t>
        </is>
      </c>
      <c r="B22" s="8" t="inlineStr">
        <is>
          <t>Premium</t>
        </is>
      </c>
      <c r="C22" s="9" t="n">
        <v>13.8</v>
      </c>
      <c r="G22" s="26" t="n"/>
    </row>
    <row r="23" ht="40.05" customHeight="1">
      <c r="A23" s="6" t="inlineStr">
        <is>
          <t>Support Plans 1</t>
        </is>
      </c>
      <c r="B23" s="6" t="inlineStr">
        <is>
          <t>LA-Santiago</t>
        </is>
      </c>
      <c r="C23" s="7" t="n">
        <v>26</v>
      </c>
      <c r="G23" s="26" t="n"/>
    </row>
    <row r="24" ht="16.15" customHeight="1">
      <c r="A24" s="8" t="inlineStr">
        <is>
          <t xml:space="preserve">  Type</t>
        </is>
      </c>
      <c r="B24" s="8" t="inlineStr">
        <is>
          <t>Developer | 0USD/month</t>
        </is>
      </c>
      <c r="C24" s="9" t="n">
        <v>26</v>
      </c>
      <c r="G24" s="26" t="n"/>
    </row>
    <row r="25" ht="40.05" customHeight="1" thickBot="1">
      <c r="A25" s="21" t="inlineStr">
        <is>
          <t>Total Price</t>
        </is>
      </c>
      <c r="B25" s="27" t="n"/>
      <c r="C25" s="10">
        <f>SUM(C3:C24)/2</f>
        <v/>
      </c>
      <c r="G25" s="28" t="n"/>
    </row>
    <row r="26" ht="16.15" customHeight="1">
      <c r="A26" s="20" t="inlineStr">
        <is>
          <t>The preceding price is for reference only and may vary from the final price in your bill</t>
        </is>
      </c>
    </row>
  </sheetData>
  <mergeCells count="3">
    <mergeCell ref="A25:B25"/>
    <mergeCell ref="A26:C26"/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2024-12-02T21:32:22Z</dcterms:created>
  <dcterms:modified xsi:type="dcterms:W3CDTF">2024-12-06T21:44:03Z</dcterms:modified>
</cp:coreProperties>
</file>