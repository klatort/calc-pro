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Fabo\Downloads\"/>
    </mc:Choice>
  </mc:AlternateContent>
  <xr:revisionPtr revIDLastSave="0" documentId="13_ncr:1_{7B4655E1-247C-43A9-A8F7-EAFCA6667FA5}" xr6:coauthVersionLast="47" xr6:coauthVersionMax="47" xr10:uidLastSave="{00000000-0000-0000-0000-000000000000}"/>
  <bookViews>
    <workbookView xWindow="28680" yWindow="15" windowWidth="29040" windowHeight="15840" xr2:uid="{00000000-000D-0000-FFFF-FFFF00000000}"/>
  </bookViews>
  <sheets>
    <sheet name="Price Calculator (Detailed) No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/>
  <c r="F7" i="1"/>
  <c r="F3" i="1"/>
  <c r="F24" i="1" l="1"/>
</calcChain>
</file>

<file path=xl/sharedStrings.xml><?xml version="1.0" encoding="utf-8"?>
<sst xmlns="http://schemas.openxmlformats.org/spreadsheetml/2006/main" count="96" uniqueCount="49">
  <si>
    <t>Price Calculator Nov 26, 2024 16:12:51</t>
  </si>
  <si>
    <t>Service</t>
  </si>
  <si>
    <t>Region</t>
  </si>
  <si>
    <t>AZ</t>
  </si>
  <si>
    <t>Billing Mode</t>
  </si>
  <si>
    <t>Purchase Amount</t>
  </si>
  <si>
    <t>Original Price (USD)</t>
  </si>
  <si>
    <t>*Considerar TS plus por Huawei 1500dlrs</t>
  </si>
  <si>
    <t>Elastic Cloud Server 1</t>
  </si>
  <si>
    <t>LA-Santiago</t>
  </si>
  <si>
    <t xml:space="preserve">General AZ </t>
  </si>
  <si>
    <t>Pay-per-use</t>
  </si>
  <si>
    <t>730 hours,1 ECS</t>
  </si>
  <si>
    <t xml:space="preserve">  Type</t>
  </si>
  <si>
    <t>x86 | Memory-optimized | m6.2xlarge.8 | 8 vCPUs | 64GB</t>
  </si>
  <si>
    <t>ProductId: OFFI488266384531730432</t>
  </si>
  <si>
    <t>730 hours,*1</t>
  </si>
  <si>
    <t xml:space="preserve">  Image</t>
  </si>
  <si>
    <t>CentOS | CentOS 8.2 64bit</t>
  </si>
  <si>
    <t xml:space="preserve">  System Disk</t>
  </si>
  <si>
    <t>High I/O | 250GB</t>
  </si>
  <si>
    <t>ProductId: 00301-102208-0--0</t>
  </si>
  <si>
    <t>Elastic Cloud Server 2</t>
  </si>
  <si>
    <t>x86 | General computing | s6.large.4 | 2 vCPUs | 8GB</t>
  </si>
  <si>
    <t>ProductId: OFFI506383697484943360</t>
  </si>
  <si>
    <t>High I/O | 500GB</t>
  </si>
  <si>
    <t xml:space="preserve">  Data Disk</t>
  </si>
  <si>
    <t>High I/O | 200GB</t>
  </si>
  <si>
    <t>High I/O | 220GB</t>
  </si>
  <si>
    <t xml:space="preserve">  EIP</t>
  </si>
  <si>
    <t>Dynamic BGP | Exclusive | Traffic | 50GB</t>
  </si>
  <si>
    <t>ProductId: 00301-103160-0--0</t>
  </si>
  <si>
    <t>Elastic Cloud Server 3</t>
  </si>
  <si>
    <t>x86 | Memory-optimized | m3.2xlarge.8 | 8 vCPUs | 64GB</t>
  </si>
  <si>
    <t>ProductId: 00301-102126-0--0</t>
  </si>
  <si>
    <t>High I/O | 150GB</t>
  </si>
  <si>
    <t>Host Security Service 1</t>
  </si>
  <si>
    <t>Monthly</t>
  </si>
  <si>
    <t>1 month,3 PCS</t>
  </si>
  <si>
    <t xml:space="preserve">  Edition</t>
  </si>
  <si>
    <t>Premium</t>
  </si>
  <si>
    <t>ProductId: OFFI512984293311201286</t>
  </si>
  <si>
    <t>1 month,*3</t>
  </si>
  <si>
    <t>Support Plans 1</t>
  </si>
  <si>
    <t>1 month</t>
  </si>
  <si>
    <t>Developer | 0USD/month</t>
  </si>
  <si>
    <t>ProductId: 00301-82147-0--0</t>
  </si>
  <si>
    <t>Total Price</t>
  </si>
  <si>
    <t>The preceding price is for reference only and may vary from the final price in your bill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</si>
</sst>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###"/>
  </numFmts>
  <fonts count="6">
    <font>
      <sz val="11"/>
      <color theme="1"/>
      <name val="Calibri"/>
      <family val="2"/>
      <scheme val="minor"/>
    </font>
    <font>
      <sz val="14"/>
      <color rgb="FFFFFFF0"/>
      <name val="微软雅黑"/>
    </font>
    <font>
      <sz val="12"/>
      <name val="微软雅黑"/>
    </font>
    <font>
      <sz val="12"/>
      <color rgb="FF8F8F8F"/>
      <name val="微软雅黑"/>
    </font>
    <font>
      <b/>
      <sz val="12"/>
      <name val="微软雅黑"/>
    </font>
    <font>
      <sz val="12"/>
      <color rgb="FFFF0000"/>
      <name val="微软雅黑"/>
    </font>
  </fonts>
  <fills count="5">
    <fill>
      <patternFill patternType="none"/>
    </fill>
    <fill>
      <patternFill patternType="gray125"/>
    </fill>
    <fill>
      <patternFill patternType="solid">
        <fgColor rgb="FF1874CD"/>
      </patternFill>
    </fill>
    <fill>
      <patternFill patternType="solid">
        <fgColor rgb="FFDBDBDB"/>
      </patternFill>
    </fill>
    <fill>
      <patternFill patternType="solid">
        <fgColor rgb="FFF5F5F5"/>
      </patternFill>
    </fill>
  </fills>
  <borders count="7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medium">
        <color auto="1"/>
      </bottom>
      <diagonal/>
    </border>
    <border>
      <left style="thin">
        <color rgb="FFDBDBDB"/>
      </left>
      <right style="thin">
        <color rgb="FFDBDBDB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rgb="FFFFFFFF"/>
      </right>
      <top/>
      <bottom style="medium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2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right" vertical="center" wrapText="1"/>
    </xf>
    <xf numFmtId="0" fontId="2" fillId="0" borderId="2" xfId="0" applyFont="1" applyBorder="1" applyAlignment="1">
      <alignment horizontal="left" vertical="center" wrapText="1"/>
    </xf>
    <xf numFmtId="4" fontId="2" fillId="0" borderId="2" xfId="0" applyNumberFormat="1" applyFont="1" applyBorder="1" applyAlignment="1">
      <alignment horizontal="right" vertical="center" wrapText="1"/>
    </xf>
    <xf numFmtId="0" fontId="3" fillId="4" borderId="0" xfId="0" applyFont="1" applyFill="1" applyAlignment="1">
      <alignment horizontal="left" vertical="center" wrapText="1"/>
    </xf>
    <xf numFmtId="164" fontId="2" fillId="4" borderId="0" xfId="0" applyNumberFormat="1" applyFont="1" applyFill="1" applyAlignment="1">
      <alignment horizontal="right" vertical="center" wrapText="1"/>
    </xf>
    <xf numFmtId="4" fontId="2" fillId="3" borderId="4" xfId="0" applyNumberFormat="1" applyFont="1" applyFill="1" applyBorder="1" applyAlignment="1">
      <alignment horizontal="right" vertical="center" wrapText="1"/>
    </xf>
    <xf numFmtId="0" fontId="5" fillId="0" borderId="0" xfId="0" applyFont="1"/>
    <xf numFmtId="0" fontId="3" fillId="4" borderId="0" xfId="0" applyFont="1" applyFill="1" applyAlignment="1">
      <alignment horizontal="left" vertical="center" wrapText="1"/>
    </xf>
    <xf numFmtId="0" fontId="0" fillId="0" borderId="0" xfId="0"/>
    <xf numFmtId="0" fontId="0" fillId="0" borderId="5" xfId="0" applyBorder="1"/>
    <xf numFmtId="0" fontId="0" fillId="0" borderId="6" xfId="0" applyBorder="1"/>
    <xf numFmtId="0" fontId="4" fillId="3" borderId="3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topLeftCell="A7" zoomScaleNormal="100" workbookViewId="0">
      <selection activeCell="H4" sqref="H4"/>
    </sheetView>
  </sheetViews>
  <sheetFormatPr baseColWidth="10" defaultColWidth="9.140625" defaultRowHeight="15"/>
  <cols>
    <col min="1" max="1" width="30" customWidth="1"/>
    <col min="2" max="2" width="50" customWidth="1"/>
    <col min="3" max="5" width="25" customWidth="1"/>
    <col min="6" max="7" width="20" customWidth="1"/>
  </cols>
  <sheetData>
    <row r="1" spans="1:9" s="1" customFormat="1" ht="50.1" customHeight="1">
      <c r="A1" s="17" t="s">
        <v>0</v>
      </c>
      <c r="B1" s="18"/>
      <c r="C1" s="18"/>
      <c r="D1" s="18"/>
      <c r="E1" s="18"/>
      <c r="F1" s="18"/>
    </row>
    <row r="2" spans="1:9" s="2" customFormat="1" ht="50.1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I2" s="10" t="s">
        <v>7</v>
      </c>
    </row>
    <row r="3" spans="1:9" ht="39.950000000000003" customHeight="1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6">
        <f>SUM(F4:F6)</f>
        <v>342.73499999999996</v>
      </c>
    </row>
    <row r="4" spans="1:9" ht="51.75" customHeight="1">
      <c r="A4" s="7" t="s">
        <v>13</v>
      </c>
      <c r="B4" s="11" t="s">
        <v>14</v>
      </c>
      <c r="C4" s="12"/>
      <c r="D4" s="7" t="s">
        <v>15</v>
      </c>
      <c r="E4" s="7" t="s">
        <v>16</v>
      </c>
      <c r="F4" s="8">
        <v>329.96</v>
      </c>
    </row>
    <row r="5" spans="1:9" ht="17.25" customHeight="1">
      <c r="A5" s="7" t="s">
        <v>17</v>
      </c>
      <c r="B5" s="11" t="s">
        <v>18</v>
      </c>
      <c r="C5" s="12"/>
      <c r="D5" s="7"/>
      <c r="E5" s="7" t="s">
        <v>16</v>
      </c>
      <c r="F5" s="8">
        <v>0</v>
      </c>
    </row>
    <row r="6" spans="1:9" ht="34.5" customHeight="1">
      <c r="A6" s="7" t="s">
        <v>19</v>
      </c>
      <c r="B6" s="11" t="s">
        <v>20</v>
      </c>
      <c r="C6" s="12"/>
      <c r="D6" s="7" t="s">
        <v>21</v>
      </c>
      <c r="E6" s="7" t="s">
        <v>16</v>
      </c>
      <c r="F6" s="8">
        <v>12.775</v>
      </c>
    </row>
    <row r="7" spans="1:9" ht="39.950000000000003" customHeight="1">
      <c r="A7" s="5" t="s">
        <v>22</v>
      </c>
      <c r="B7" s="5" t="s">
        <v>9</v>
      </c>
      <c r="C7" s="5" t="s">
        <v>10</v>
      </c>
      <c r="D7" s="5" t="s">
        <v>11</v>
      </c>
      <c r="E7" s="5" t="s">
        <v>12</v>
      </c>
      <c r="F7" s="6">
        <f>SUM(F8:F14)</f>
        <v>120.41199999999999</v>
      </c>
    </row>
    <row r="8" spans="1:9" ht="51.75" customHeight="1">
      <c r="A8" s="7" t="s">
        <v>13</v>
      </c>
      <c r="B8" s="11" t="s">
        <v>23</v>
      </c>
      <c r="C8" s="12"/>
      <c r="D8" s="7" t="s">
        <v>24</v>
      </c>
      <c r="E8" s="7" t="s">
        <v>16</v>
      </c>
      <c r="F8" s="8">
        <v>43.8</v>
      </c>
    </row>
    <row r="9" spans="1:9" ht="17.25" customHeight="1">
      <c r="A9" s="7" t="s">
        <v>17</v>
      </c>
      <c r="B9" s="11" t="s">
        <v>18</v>
      </c>
      <c r="C9" s="12"/>
      <c r="D9" s="7"/>
      <c r="E9" s="7" t="s">
        <v>16</v>
      </c>
      <c r="F9" s="8">
        <v>0</v>
      </c>
    </row>
    <row r="10" spans="1:9" ht="34.5" customHeight="1">
      <c r="A10" s="7" t="s">
        <v>19</v>
      </c>
      <c r="B10" s="11" t="s">
        <v>25</v>
      </c>
      <c r="C10" s="12"/>
      <c r="D10" s="7" t="s">
        <v>21</v>
      </c>
      <c r="E10" s="7" t="s">
        <v>16</v>
      </c>
      <c r="F10" s="8">
        <v>25.55</v>
      </c>
    </row>
    <row r="11" spans="1:9" ht="34.5" customHeight="1">
      <c r="A11" s="7" t="s">
        <v>26</v>
      </c>
      <c r="B11" s="11" t="s">
        <v>25</v>
      </c>
      <c r="C11" s="12"/>
      <c r="D11" s="7" t="s">
        <v>21</v>
      </c>
      <c r="E11" s="7" t="s">
        <v>16</v>
      </c>
      <c r="F11" s="8">
        <v>25.55</v>
      </c>
    </row>
    <row r="12" spans="1:9" ht="34.5" customHeight="1">
      <c r="A12" s="7" t="s">
        <v>26</v>
      </c>
      <c r="B12" s="11" t="s">
        <v>27</v>
      </c>
      <c r="C12" s="12"/>
      <c r="D12" s="7" t="s">
        <v>21</v>
      </c>
      <c r="E12" s="7" t="s">
        <v>16</v>
      </c>
      <c r="F12" s="8">
        <v>10.220000000000001</v>
      </c>
    </row>
    <row r="13" spans="1:9" ht="34.5" customHeight="1">
      <c r="A13" s="7" t="s">
        <v>26</v>
      </c>
      <c r="B13" s="11" t="s">
        <v>28</v>
      </c>
      <c r="C13" s="12"/>
      <c r="D13" s="7" t="s">
        <v>21</v>
      </c>
      <c r="E13" s="7" t="s">
        <v>16</v>
      </c>
      <c r="F13" s="8">
        <v>11.242000000000001</v>
      </c>
    </row>
    <row r="14" spans="1:9" ht="34.5" customHeight="1">
      <c r="A14" s="7" t="s">
        <v>29</v>
      </c>
      <c r="B14" s="11" t="s">
        <v>30</v>
      </c>
      <c r="C14" s="12"/>
      <c r="D14" s="7" t="s">
        <v>31</v>
      </c>
      <c r="E14" s="7" t="s">
        <v>16</v>
      </c>
      <c r="F14" s="8">
        <v>4.05</v>
      </c>
    </row>
    <row r="15" spans="1:9" ht="39.950000000000003" customHeight="1">
      <c r="A15" s="5" t="s">
        <v>32</v>
      </c>
      <c r="B15" s="5" t="s">
        <v>9</v>
      </c>
      <c r="C15" s="5" t="s">
        <v>10</v>
      </c>
      <c r="D15" s="5" t="s">
        <v>11</v>
      </c>
      <c r="E15" s="5" t="s">
        <v>12</v>
      </c>
      <c r="F15" s="6">
        <f>SUM(F16:F19)</f>
        <v>584.03499999999997</v>
      </c>
    </row>
    <row r="16" spans="1:9" ht="34.5" customHeight="1">
      <c r="A16" s="7" t="s">
        <v>13</v>
      </c>
      <c r="B16" s="11" t="s">
        <v>33</v>
      </c>
      <c r="C16" s="12"/>
      <c r="D16" s="7" t="s">
        <v>34</v>
      </c>
      <c r="E16" s="7" t="s">
        <v>16</v>
      </c>
      <c r="F16" s="8">
        <v>572.32000000000005</v>
      </c>
    </row>
    <row r="17" spans="1:7" ht="17.25" customHeight="1">
      <c r="A17" s="7" t="s">
        <v>17</v>
      </c>
      <c r="B17" s="11" t="s">
        <v>18</v>
      </c>
      <c r="C17" s="12"/>
      <c r="D17" s="7"/>
      <c r="E17" s="7" t="s">
        <v>16</v>
      </c>
      <c r="F17" s="8">
        <v>0</v>
      </c>
    </row>
    <row r="18" spans="1:7" ht="34.5" customHeight="1">
      <c r="A18" s="7" t="s">
        <v>19</v>
      </c>
      <c r="B18" s="11" t="s">
        <v>35</v>
      </c>
      <c r="C18" s="12"/>
      <c r="D18" s="7" t="s">
        <v>21</v>
      </c>
      <c r="E18" s="7" t="s">
        <v>16</v>
      </c>
      <c r="F18" s="8">
        <v>7.665</v>
      </c>
    </row>
    <row r="19" spans="1:7" ht="34.5" customHeight="1">
      <c r="A19" s="7" t="s">
        <v>29</v>
      </c>
      <c r="B19" s="11" t="s">
        <v>30</v>
      </c>
      <c r="C19" s="12"/>
      <c r="D19" s="7" t="s">
        <v>31</v>
      </c>
      <c r="E19" s="7" t="s">
        <v>16</v>
      </c>
      <c r="F19" s="8">
        <v>4.05</v>
      </c>
    </row>
    <row r="20" spans="1:7" ht="39.950000000000003" customHeight="1">
      <c r="A20" s="5" t="s">
        <v>36</v>
      </c>
      <c r="B20" s="5" t="s">
        <v>9</v>
      </c>
      <c r="C20" s="5" t="s">
        <v>10</v>
      </c>
      <c r="D20" s="5" t="s">
        <v>37</v>
      </c>
      <c r="E20" s="5" t="s">
        <v>38</v>
      </c>
      <c r="F20" s="6">
        <v>41.4</v>
      </c>
    </row>
    <row r="21" spans="1:7" ht="51.75" customHeight="1">
      <c r="A21" s="7" t="s">
        <v>39</v>
      </c>
      <c r="B21" s="11" t="s">
        <v>40</v>
      </c>
      <c r="C21" s="12"/>
      <c r="D21" s="7" t="s">
        <v>41</v>
      </c>
      <c r="E21" s="7" t="s">
        <v>42</v>
      </c>
      <c r="F21" s="8">
        <v>41.4</v>
      </c>
    </row>
    <row r="22" spans="1:7" ht="39.950000000000003" customHeight="1">
      <c r="A22" s="5" t="s">
        <v>43</v>
      </c>
      <c r="B22" s="5" t="s">
        <v>9</v>
      </c>
      <c r="C22" s="5" t="s">
        <v>10</v>
      </c>
      <c r="D22" s="5" t="s">
        <v>37</v>
      </c>
      <c r="E22" s="5" t="s">
        <v>44</v>
      </c>
      <c r="F22" s="6">
        <v>26</v>
      </c>
    </row>
    <row r="23" spans="1:7" ht="34.5" customHeight="1">
      <c r="A23" s="7" t="s">
        <v>13</v>
      </c>
      <c r="B23" s="11" t="s">
        <v>45</v>
      </c>
      <c r="C23" s="12"/>
      <c r="D23" s="7" t="s">
        <v>46</v>
      </c>
      <c r="E23" s="7" t="s">
        <v>44</v>
      </c>
      <c r="F23" s="8">
        <v>26</v>
      </c>
    </row>
    <row r="24" spans="1:7" ht="39.950000000000003" customHeight="1" thickBot="1">
      <c r="A24" s="15" t="s">
        <v>47</v>
      </c>
      <c r="B24" s="13"/>
      <c r="C24" s="13"/>
      <c r="D24" s="13"/>
      <c r="E24" s="14"/>
      <c r="F24" s="9">
        <f>SUM(F3:F23)/2</f>
        <v>1114.5820000000001</v>
      </c>
    </row>
    <row r="25" spans="1:7" ht="17.25" customHeight="1">
      <c r="A25" s="16" t="s">
        <v>48</v>
      </c>
      <c r="B25" s="12"/>
      <c r="C25" s="12"/>
      <c r="D25" s="12"/>
      <c r="E25" s="12"/>
      <c r="F25" s="12"/>
      <c r="G25" s="12"/>
    </row>
  </sheetData>
  <mergeCells count="19">
    <mergeCell ref="B8:C8"/>
    <mergeCell ref="B13:C13"/>
    <mergeCell ref="A25:G25"/>
    <mergeCell ref="A1:F1"/>
    <mergeCell ref="B19:C19"/>
    <mergeCell ref="B10:C10"/>
    <mergeCell ref="B9:C9"/>
    <mergeCell ref="B6:C6"/>
    <mergeCell ref="B5:C5"/>
    <mergeCell ref="B4:C4"/>
    <mergeCell ref="B11:C11"/>
    <mergeCell ref="A24:E24"/>
    <mergeCell ref="B23:C23"/>
    <mergeCell ref="B14:C14"/>
    <mergeCell ref="B17:C17"/>
    <mergeCell ref="B16:C16"/>
    <mergeCell ref="B18:C18"/>
    <mergeCell ref="B12:C12"/>
    <mergeCell ref="B21:C2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Price Calculator (Detailed) Nov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Fabrizio Mayor Coloma</cp:lastModifiedBy>
  <dcterms:created xsi:type="dcterms:W3CDTF">2024-11-26T21:12:51Z</dcterms:created>
  <dcterms:modified xsi:type="dcterms:W3CDTF">2024-11-26T21:37:54Z</dcterms:modified>
</cp:coreProperties>
</file>