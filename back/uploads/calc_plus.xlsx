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ice Calculator (Detailed) Nov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00###"/>
  </numFmts>
  <fonts count="7">
    <font>
      <name val="Calibri"/>
      <family val="2"/>
      <color theme="1"/>
      <sz val="11"/>
      <scheme val="minor"/>
    </font>
    <font>
      <name val="微软雅黑"/>
      <color rgb="00FFFFF0"/>
      <sz val="14"/>
    </font>
    <font>
      <name val="微软雅黑"/>
      <sz val="12"/>
    </font>
    <font>
      <name val="微软雅黑"/>
      <color rgb="00CD2626"/>
      <sz val="12"/>
    </font>
    <font>
      <name val="微软雅黑"/>
      <color rgb="008F8F8F"/>
      <sz val="12"/>
    </font>
    <font>
      <name val="微软雅黑"/>
      <color rgb="0000CD00"/>
      <sz val="12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1874CD"/>
      </patternFill>
    </fill>
    <fill>
      <patternFill patternType="solid">
        <fgColor rgb="00DBDBDB"/>
      </patternFill>
    </fill>
    <fill>
      <patternFill patternType="solid">
        <fgColor rgb="00F5F5F5"/>
      </patternFill>
    </fill>
  </fills>
  <borders count="12">
    <border>
      <left/>
      <right/>
      <top/>
      <bottom/>
      <diagonal/>
    </border>
    <border>
      <left/>
      <right style="medium"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medium"/>
      <diagonal/>
    </border>
    <border>
      <left style="thin">
        <color rgb="00FFFFFF"/>
      </left>
      <right style="medium"/>
      <top/>
      <bottom style="medium"/>
      <diagonal/>
    </border>
    <border>
      <left style="thin">
        <color rgb="00DBDBDB"/>
      </left>
      <right style="thin">
        <color rgb="00DBDBDB"/>
      </right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thin">
        <color rgb="00FFFFFF"/>
      </right>
      <top/>
      <bottom/>
      <diagonal/>
    </border>
    <border>
      <left/>
      <right style="thin">
        <color rgb="00FFFFFF"/>
      </right>
      <top/>
      <bottom style="medium"/>
      <diagonal/>
    </border>
    <border>
      <right style="medium">
        <color rgb="00000000"/>
      </right>
    </border>
    <border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4" fontId="2" fillId="0" borderId="2" applyAlignment="1" pivotButton="0" quotePrefix="0" xfId="0">
      <alignment horizontal="right" vertical="center" wrapText="1"/>
    </xf>
    <xf numFmtId="4" fontId="2" fillId="0" borderId="0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164" fontId="2" fillId="4" borderId="0" applyAlignment="1" pivotButton="0" quotePrefix="0" xfId="0">
      <alignment horizontal="right" vertical="center" wrapText="1"/>
    </xf>
    <xf numFmtId="164" fontId="5" fillId="4" borderId="0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2" fillId="0" borderId="3" applyAlignment="1" pivotButton="0" quotePrefix="0" xfId="0">
      <alignment horizontal="left" vertical="center" wrapText="1"/>
    </xf>
    <xf numFmtId="4" fontId="2" fillId="0" borderId="3" applyAlignment="1" pivotButton="0" quotePrefix="0" xfId="0">
      <alignment horizontal="right" vertical="center" wrapText="1"/>
    </xf>
    <xf numFmtId="4" fontId="5" fillId="0" borderId="3" applyAlignment="1" pivotButton="0" quotePrefix="0" xfId="0">
      <alignment horizontal="right" vertical="center" wrapText="1"/>
    </xf>
    <xf numFmtId="4" fontId="3" fillId="0" borderId="4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left" vertical="center" wrapText="1"/>
    </xf>
    <xf numFmtId="4" fontId="2" fillId="3" borderId="5" applyAlignment="1" pivotButton="0" quotePrefix="0" xfId="0">
      <alignment horizontal="right" vertical="center" wrapText="1"/>
    </xf>
    <xf numFmtId="4" fontId="5" fillId="3" borderId="5" applyAlignment="1" pivotButton="0" quotePrefix="0" xfId="0">
      <alignment horizontal="right" vertical="center" wrapText="1"/>
    </xf>
    <xf numFmtId="4" fontId="3" fillId="3" borderId="4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0" fontId="2" fillId="4" borderId="6" applyAlignment="1" pivotButton="0" quotePrefix="0" xfId="0">
      <alignment horizontal="left" vertical="center" wrapText="1"/>
    </xf>
    <xf numFmtId="4" fontId="2" fillId="4" borderId="6" applyAlignment="1" pivotButton="0" quotePrefix="0" xfId="0">
      <alignment horizontal="right" vertical="center" wrapText="1"/>
    </xf>
    <xf numFmtId="4" fontId="5" fillId="4" borderId="6" applyAlignment="1" pivotButton="0" quotePrefix="0" xfId="0">
      <alignment horizontal="right" vertical="center" wrapText="1"/>
    </xf>
    <xf numFmtId="4" fontId="3" fillId="4" borderId="7" applyAlignment="1" pivotButton="0" quotePrefix="0" xfId="0">
      <alignment horizontal="right" vertical="center" wrapText="1"/>
    </xf>
    <xf numFmtId="0" fontId="2" fillId="3" borderId="6" applyAlignment="1" pivotButton="0" quotePrefix="0" xfId="0">
      <alignment horizontal="left" vertical="center" wrapText="1"/>
    </xf>
    <xf numFmtId="4" fontId="2" fillId="3" borderId="6" applyAlignment="1" pivotButton="0" quotePrefix="0" xfId="0">
      <alignment horizontal="right" vertical="center" wrapText="1"/>
    </xf>
    <xf numFmtId="4" fontId="5" fillId="3" borderId="6" applyAlignment="1" pivotButton="0" quotePrefix="0" xfId="0">
      <alignment horizontal="right" vertical="center" wrapText="1"/>
    </xf>
    <xf numFmtId="4" fontId="3" fillId="3" borderId="7" applyAlignment="1" pivotButton="0" quotePrefix="0" xfId="0">
      <alignment horizontal="right" vertical="center" wrapText="1"/>
    </xf>
    <xf numFmtId="0" fontId="0" fillId="0" borderId="1" pivotButton="0" quotePrefix="0" xfId="0"/>
    <xf numFmtId="0" fontId="2" fillId="3" borderId="10" applyAlignment="1" pivotButton="0" quotePrefix="0" xfId="0">
      <alignment horizontal="right" vertical="center" wrapText="1"/>
    </xf>
    <xf numFmtId="4" fontId="2" fillId="0" borderId="10" applyAlignment="1" pivotButton="0" quotePrefix="0" xfId="0">
      <alignment horizontal="right" vertical="center" wrapText="1"/>
    </xf>
    <xf numFmtId="164" fontId="2" fillId="4" borderId="10" applyAlignment="1" pivotButton="0" quotePrefix="0" xfId="0">
      <alignment horizontal="right" vertical="center" wrapText="1"/>
    </xf>
    <xf numFmtId="0" fontId="0" fillId="0" borderId="6" pivotButton="0" quotePrefix="0" xfId="0"/>
    <xf numFmtId="0" fontId="0" fillId="0" borderId="9" pivotButton="0" quotePrefix="0" xfId="0"/>
    <xf numFmtId="4" fontId="2" fillId="3" borderId="1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  <col width="25" customWidth="1" min="3" max="5"/>
    <col width="20" customWidth="1" min="6" max="6"/>
    <col width="25" customWidth="1" min="7" max="7"/>
    <col width="20" customWidth="1" min="8" max="8"/>
  </cols>
  <sheetData>
    <row r="1" ht="50" customFormat="1" customHeight="1" s="1">
      <c r="A1" s="2" t="inlineStr">
        <is>
          <t>Price Calculator Nov 6, 2024 11:37:44</t>
        </is>
      </c>
      <c r="G1" s="35" t="n"/>
    </row>
    <row r="2" ht="50" customFormat="1" customHeight="1" s="3">
      <c r="A2" s="4" t="inlineStr">
        <is>
          <t>Service</t>
        </is>
      </c>
      <c r="B2" s="4" t="inlineStr">
        <is>
          <t>Region</t>
        </is>
      </c>
      <c r="C2" s="4" t="inlineStr">
        <is>
          <t>AZ</t>
        </is>
      </c>
      <c r="D2" s="4" t="inlineStr">
        <is>
          <t>Billing Mode</t>
        </is>
      </c>
      <c r="E2" s="4" t="inlineStr">
        <is>
          <t>Purchase Amount</t>
        </is>
      </c>
      <c r="F2" s="5" t="inlineStr">
        <is>
          <t>Original Price (USD)</t>
        </is>
      </c>
      <c r="G2" s="36" t="inlineStr">
        <is>
          <t>Original Price RI (USD)</t>
        </is>
      </c>
    </row>
    <row r="3" ht="40" customHeight="1">
      <c r="A3" s="7" t="inlineStr">
        <is>
          <t>Elastic Volume Service 1</t>
        </is>
      </c>
      <c r="B3" s="7" t="inlineStr">
        <is>
          <t>LA-Santiago</t>
        </is>
      </c>
      <c r="C3" s="7" t="inlineStr">
        <is>
          <t xml:space="preserve">General AZ </t>
        </is>
      </c>
      <c r="D3" s="7" t="inlineStr">
        <is>
          <t>Pay-per-use</t>
        </is>
      </c>
      <c r="E3" s="7" t="inlineStr">
        <is>
          <t>730 hours,1 disk</t>
        </is>
      </c>
      <c r="F3" s="8" t="n">
        <v>6.64</v>
      </c>
      <c r="G3" s="37" t="n">
        <v>6.64</v>
      </c>
    </row>
    <row r="4">
      <c r="A4" s="11" t="inlineStr">
        <is>
          <t xml:space="preserve">  Disk Capacity</t>
        </is>
      </c>
      <c r="B4" s="11" t="inlineStr">
        <is>
          <t>General Purpose SSD | 70GiB</t>
        </is>
      </c>
      <c r="D4" s="11" t="inlineStr">
        <is>
          <t>ProductId: OFFI479638699187482626</t>
        </is>
      </c>
      <c r="E4" s="11" t="inlineStr">
        <is>
          <t>730 hours,*1</t>
        </is>
      </c>
      <c r="F4" s="12" t="n">
        <v>6.643</v>
      </c>
      <c r="G4" s="38" t="n">
        <v>6.643</v>
      </c>
    </row>
    <row r="5" ht="40" customHeight="1">
      <c r="A5" s="7" t="inlineStr">
        <is>
          <t>Elastic Cloud Server 2</t>
        </is>
      </c>
      <c r="B5" s="7" t="inlineStr">
        <is>
          <t>LA-Santiago</t>
        </is>
      </c>
      <c r="C5" s="7" t="inlineStr">
        <is>
          <t xml:space="preserve">General AZ </t>
        </is>
      </c>
      <c r="D5" s="7" t="inlineStr">
        <is>
          <t xml:space="preserve"> RI</t>
        </is>
      </c>
      <c r="E5" s="7" t="inlineStr">
        <is>
          <t>1,1 ECS</t>
        </is>
      </c>
      <c r="F5" s="8" t="n">
        <v>674.52</v>
      </c>
      <c r="G5" s="37" t="n">
        <v>674.52</v>
      </c>
    </row>
    <row r="6">
      <c r="A6" s="11" t="inlineStr">
        <is>
          <t xml:space="preserve">  Image</t>
        </is>
      </c>
      <c r="B6" s="11" t="inlineStr">
        <is>
          <t>AlmaLinux | AlmaLinux 9.0 64bit</t>
        </is>
      </c>
      <c r="D6" s="11" t="n"/>
      <c r="E6" s="11" t="inlineStr">
        <is>
          <t>1,*1</t>
        </is>
      </c>
      <c r="F6" s="12">
        <f>SUM(F7:F7)</f>
        <v/>
      </c>
      <c r="G6" s="38">
        <f>SUM(G7:G7)</f>
        <v/>
      </c>
    </row>
    <row r="7">
      <c r="A7" s="11" t="inlineStr">
        <is>
          <t xml:space="preserve">  Type</t>
        </is>
      </c>
      <c r="B7" s="11" t="inlineStr">
        <is>
          <t>x86 | General computing | s3.xlarge.4 | 4 vCPUs | 16GB | No Upfront | 1 Year</t>
        </is>
      </c>
      <c r="D7" s="11" t="inlineStr">
        <is>
          <t>ProductId: 97ed7021a61d4bacb4f29b4c94cd8989</t>
        </is>
      </c>
      <c r="E7" s="11" t="inlineStr">
        <is>
          <t>1,*1</t>
        </is>
      </c>
      <c r="F7" s="12" t="n">
        <v>172.28</v>
      </c>
      <c r="G7" s="38" t="n">
        <v>140.16</v>
      </c>
    </row>
    <row r="8" ht="40" customHeight="1">
      <c r="A8" s="7" t="inlineStr">
        <is>
          <t>Elastic Volume Service 2</t>
        </is>
      </c>
      <c r="B8" s="7" t="inlineStr">
        <is>
          <t>LA-Santiago</t>
        </is>
      </c>
      <c r="C8" s="7" t="inlineStr">
        <is>
          <t xml:space="preserve">General AZ </t>
        </is>
      </c>
      <c r="D8" s="7" t="inlineStr">
        <is>
          <t>Pay-per-use</t>
        </is>
      </c>
      <c r="E8" s="7" t="inlineStr">
        <is>
          <t>730 hours,1 disk</t>
        </is>
      </c>
      <c r="F8" s="8" t="n">
        <v>33.22</v>
      </c>
      <c r="G8" s="37" t="n">
        <v>33.22</v>
      </c>
    </row>
    <row r="9">
      <c r="A9" s="11" t="inlineStr">
        <is>
          <t xml:space="preserve">  Disk Capacity</t>
        </is>
      </c>
      <c r="B9" s="11" t="inlineStr">
        <is>
          <t>General Purpose SSD | 350GiB</t>
        </is>
      </c>
      <c r="D9" s="11" t="inlineStr">
        <is>
          <t>ProductId: OFFI479638699187482626</t>
        </is>
      </c>
      <c r="E9" s="11" t="inlineStr">
        <is>
          <t>730 hours,*1</t>
        </is>
      </c>
      <c r="F9" s="12" t="n">
        <v>33.215</v>
      </c>
      <c r="G9" s="38" t="n">
        <v>33.215</v>
      </c>
    </row>
    <row r="10" ht="40" customHeight="1">
      <c r="A10" s="7" t="inlineStr">
        <is>
          <t>Cloud Backup and Recovery 1</t>
        </is>
      </c>
      <c r="B10" s="7" t="inlineStr">
        <is>
          <t>LA-Santiago</t>
        </is>
      </c>
      <c r="C10" s="7" t="inlineStr">
        <is>
          <t xml:space="preserve">General AZ </t>
        </is>
      </c>
      <c r="D10" s="7" t="inlineStr">
        <is>
          <t>Pay-per-use</t>
        </is>
      </c>
      <c r="E10" s="7" t="inlineStr">
        <is>
          <t>730 hours</t>
        </is>
      </c>
      <c r="F10" s="8" t="n">
        <v>25.55</v>
      </c>
      <c r="G10" s="37" t="n">
        <v>25.55</v>
      </c>
    </row>
    <row r="11">
      <c r="A11" s="11" t="inlineStr">
        <is>
          <t xml:space="preserve">  Vault Type</t>
        </is>
      </c>
      <c r="B11" s="11" t="inlineStr">
        <is>
          <t>Server backup vault | 700GB</t>
        </is>
      </c>
      <c r="D11" s="11" t="inlineStr">
        <is>
          <t>ProductId: 00301-106058-0--0</t>
        </is>
      </c>
      <c r="E11" s="11" t="inlineStr">
        <is>
          <t>730 hours</t>
        </is>
      </c>
      <c r="F11" s="12" t="n">
        <v>25.55</v>
      </c>
      <c r="G11" s="38" t="n">
        <v>25.55</v>
      </c>
    </row>
    <row r="12" ht="40" customHeight="1">
      <c r="A12" s="7" t="inlineStr">
        <is>
          <t>Elastic Cloud Server 3</t>
        </is>
      </c>
      <c r="B12" s="7" t="inlineStr">
        <is>
          <t>LA-Santiago</t>
        </is>
      </c>
      <c r="C12" s="7" t="inlineStr">
        <is>
          <t xml:space="preserve">General AZ </t>
        </is>
      </c>
      <c r="D12" s="7" t="inlineStr">
        <is>
          <t xml:space="preserve"> RI</t>
        </is>
      </c>
      <c r="E12" s="7" t="inlineStr">
        <is>
          <t>1,1 ECS</t>
        </is>
      </c>
      <c r="F12" s="8" t="n">
        <v>674.52</v>
      </c>
      <c r="G12" s="37" t="n">
        <v>674.52</v>
      </c>
    </row>
    <row r="13">
      <c r="A13" s="11" t="inlineStr">
        <is>
          <t xml:space="preserve">  Image</t>
        </is>
      </c>
      <c r="B13" s="11" t="inlineStr">
        <is>
          <t>AlmaLinux | AlmaLinux 9.0 64bit</t>
        </is>
      </c>
      <c r="D13" s="11" t="n"/>
      <c r="E13" s="11" t="inlineStr">
        <is>
          <t>1,*1</t>
        </is>
      </c>
      <c r="F13" s="12">
        <f>SUM(F14:F14)</f>
        <v/>
      </c>
      <c r="G13" s="38">
        <f>SUM(G14:G14)</f>
        <v/>
      </c>
    </row>
    <row r="14">
      <c r="A14" s="11" t="inlineStr">
        <is>
          <t xml:space="preserve">  Type</t>
        </is>
      </c>
      <c r="B14" s="11" t="inlineStr">
        <is>
          <t>x86 | General computing | s3.xlarge.4 | 4 vCPUs | 16GB | No Upfront | 1 Year</t>
        </is>
      </c>
      <c r="D14" s="11" t="inlineStr">
        <is>
          <t>ProductId: 97ed7021a61d4bacb4f29b4c94cd8989</t>
        </is>
      </c>
      <c r="E14" s="11" t="inlineStr">
        <is>
          <t>1,*1</t>
        </is>
      </c>
      <c r="F14" s="12" t="n">
        <v>172.28</v>
      </c>
      <c r="G14" s="38" t="n">
        <v>140.16</v>
      </c>
    </row>
    <row r="15" ht="40" customHeight="1">
      <c r="A15" s="7" t="inlineStr">
        <is>
          <t>Elastic Volume Service 3</t>
        </is>
      </c>
      <c r="B15" s="7" t="inlineStr">
        <is>
          <t>LA-Santiago</t>
        </is>
      </c>
      <c r="C15" s="7" t="inlineStr">
        <is>
          <t xml:space="preserve">General AZ </t>
        </is>
      </c>
      <c r="D15" s="7" t="inlineStr">
        <is>
          <t>Pay-per-use</t>
        </is>
      </c>
      <c r="E15" s="7" t="inlineStr">
        <is>
          <t>730 hours,1 disk</t>
        </is>
      </c>
      <c r="F15" s="8" t="n">
        <v>23.73</v>
      </c>
      <c r="G15" s="37" t="n">
        <v>23.73</v>
      </c>
    </row>
    <row r="16">
      <c r="A16" s="11" t="inlineStr">
        <is>
          <t xml:space="preserve">  Disk Capacity</t>
        </is>
      </c>
      <c r="B16" s="11" t="inlineStr">
        <is>
          <t>General Purpose SSD | 250GiB</t>
        </is>
      </c>
      <c r="D16" s="11" t="inlineStr">
        <is>
          <t>ProductId: OFFI479638699187482626</t>
        </is>
      </c>
      <c r="E16" s="11" t="inlineStr">
        <is>
          <t>730 hours,*1</t>
        </is>
      </c>
      <c r="F16" s="12" t="n">
        <v>23.725</v>
      </c>
      <c r="G16" s="38" t="n">
        <v>23.725</v>
      </c>
    </row>
    <row r="17" ht="40" customHeight="1">
      <c r="A17" s="7" t="inlineStr">
        <is>
          <t>Cloud Backup and Recovery 2</t>
        </is>
      </c>
      <c r="B17" s="7" t="inlineStr">
        <is>
          <t>LA-Santiago</t>
        </is>
      </c>
      <c r="C17" s="7" t="inlineStr">
        <is>
          <t xml:space="preserve">General AZ </t>
        </is>
      </c>
      <c r="D17" s="7" t="inlineStr">
        <is>
          <t>Pay-per-use</t>
        </is>
      </c>
      <c r="E17" s="7" t="inlineStr">
        <is>
          <t>730 hours</t>
        </is>
      </c>
      <c r="F17" s="8" t="n">
        <v>18.25</v>
      </c>
      <c r="G17" s="37" t="n">
        <v>18.25</v>
      </c>
    </row>
    <row r="18">
      <c r="A18" s="11" t="inlineStr">
        <is>
          <t xml:space="preserve">  Vault Type</t>
        </is>
      </c>
      <c r="B18" s="11" t="inlineStr">
        <is>
          <t>Server backup vault | 500GB</t>
        </is>
      </c>
      <c r="D18" s="11" t="inlineStr">
        <is>
          <t>ProductId: 00301-106058-0--0</t>
        </is>
      </c>
      <c r="E18" s="11" t="inlineStr">
        <is>
          <t>730 hours</t>
        </is>
      </c>
      <c r="F18" s="12" t="n">
        <v>18.25</v>
      </c>
      <c r="G18" s="38" t="n">
        <v>18.25</v>
      </c>
    </row>
    <row r="19" ht="40" customHeight="1">
      <c r="A19" s="7" t="inlineStr">
        <is>
          <t>Elastic IP 1</t>
        </is>
      </c>
      <c r="B19" s="7" t="inlineStr">
        <is>
          <t>LA-Santiago</t>
        </is>
      </c>
      <c r="C19" s="7" t="inlineStr">
        <is>
          <t xml:space="preserve">General AZ </t>
        </is>
      </c>
      <c r="D19" s="7" t="inlineStr">
        <is>
          <t>Pay-per-use</t>
        </is>
      </c>
      <c r="E19" s="7" t="inlineStr">
        <is>
          <t>730 hours</t>
        </is>
      </c>
      <c r="F19" s="8" t="n">
        <v>11.75</v>
      </c>
      <c r="G19" s="37" t="n">
        <v>11.75</v>
      </c>
    </row>
    <row r="20">
      <c r="A20" s="11" t="inlineStr">
        <is>
          <t xml:space="preserve">  Bandwidth Price</t>
        </is>
      </c>
      <c r="B20" s="11" t="inlineStr">
        <is>
          <t>Dedicated | Dynamic BGP | Traffic | 100GB</t>
        </is>
      </c>
      <c r="D20" s="11" t="inlineStr">
        <is>
          <t>ProductId: 00301-103160-0--0</t>
        </is>
      </c>
      <c r="E20" s="11" t="inlineStr">
        <is>
          <t>730 hours</t>
        </is>
      </c>
      <c r="F20" s="12" t="n">
        <v>8.1</v>
      </c>
      <c r="G20" s="38" t="n">
        <v>8.1</v>
      </c>
    </row>
    <row r="21">
      <c r="A21" s="11" t="inlineStr">
        <is>
          <t xml:space="preserve">  EIP Price</t>
        </is>
      </c>
      <c r="B21" s="11" t="inlineStr">
        <is>
          <t xml:space="preserve">1 </t>
        </is>
      </c>
      <c r="D21" s="11" t="inlineStr">
        <is>
          <t>ProductId: 00301-103161-0--0</t>
        </is>
      </c>
      <c r="E21" s="11" t="inlineStr">
        <is>
          <t>730 hours</t>
        </is>
      </c>
      <c r="F21" s="12" t="n">
        <v>3.65</v>
      </c>
      <c r="G21" s="38" t="n">
        <v>3.65</v>
      </c>
    </row>
    <row r="22" ht="40" customHeight="1">
      <c r="A22" s="7" t="inlineStr">
        <is>
          <t>Elastic IP 2</t>
        </is>
      </c>
      <c r="B22" s="7" t="inlineStr">
        <is>
          <t>LA-Santiago</t>
        </is>
      </c>
      <c r="C22" s="7" t="inlineStr">
        <is>
          <t xml:space="preserve">General AZ </t>
        </is>
      </c>
      <c r="D22" s="7" t="inlineStr">
        <is>
          <t>Pay-per-use</t>
        </is>
      </c>
      <c r="E22" s="7" t="inlineStr">
        <is>
          <t>730 hours</t>
        </is>
      </c>
      <c r="F22" s="8" t="n">
        <v>11.75</v>
      </c>
      <c r="G22" s="37" t="n">
        <v>11.75</v>
      </c>
    </row>
    <row r="23">
      <c r="A23" s="11" t="inlineStr">
        <is>
          <t xml:space="preserve">  Bandwidth Price</t>
        </is>
      </c>
      <c r="B23" s="11" t="inlineStr">
        <is>
          <t>Dedicated | Dynamic BGP | Traffic | 100GB</t>
        </is>
      </c>
      <c r="D23" s="11" t="inlineStr">
        <is>
          <t>ProductId: 00301-103160-0--0</t>
        </is>
      </c>
      <c r="E23" s="11" t="inlineStr">
        <is>
          <t>730 hours</t>
        </is>
      </c>
      <c r="F23" s="12" t="n">
        <v>8.1</v>
      </c>
      <c r="G23" s="38" t="n">
        <v>8.1</v>
      </c>
    </row>
    <row r="24">
      <c r="A24" s="11" t="inlineStr">
        <is>
          <t xml:space="preserve">  EIP Price</t>
        </is>
      </c>
      <c r="B24" s="11" t="inlineStr">
        <is>
          <t xml:space="preserve">1 </t>
        </is>
      </c>
      <c r="D24" s="11" t="inlineStr">
        <is>
          <t>ProductId: 00301-103161-0--0</t>
        </is>
      </c>
      <c r="E24" s="11" t="inlineStr">
        <is>
          <t>730 hours</t>
        </is>
      </c>
      <c r="F24" s="12" t="n">
        <v>3.65</v>
      </c>
      <c r="G24" s="38" t="n">
        <v>3.65</v>
      </c>
    </row>
    <row r="25" ht="40" customHeight="1">
      <c r="A25" s="7" t="inlineStr">
        <is>
          <t>Elastic IP 3</t>
        </is>
      </c>
      <c r="B25" s="7" t="inlineStr">
        <is>
          <t>LA-Santiago</t>
        </is>
      </c>
      <c r="C25" s="7" t="inlineStr">
        <is>
          <t xml:space="preserve">General AZ </t>
        </is>
      </c>
      <c r="D25" s="7" t="inlineStr">
        <is>
          <t>Pay-per-use</t>
        </is>
      </c>
      <c r="E25" s="7" t="inlineStr">
        <is>
          <t>730 hours</t>
        </is>
      </c>
      <c r="F25" s="8" t="n">
        <v>11.75</v>
      </c>
      <c r="G25" s="37" t="n">
        <v>11.75</v>
      </c>
    </row>
    <row r="26">
      <c r="A26" s="11" t="inlineStr">
        <is>
          <t xml:space="preserve">  Bandwidth Price</t>
        </is>
      </c>
      <c r="B26" s="11" t="inlineStr">
        <is>
          <t>Dedicated | Dynamic BGP | Traffic | 100GB</t>
        </is>
      </c>
      <c r="D26" s="11" t="inlineStr">
        <is>
          <t>ProductId: 00301-103160-0--0</t>
        </is>
      </c>
      <c r="E26" s="11" t="inlineStr">
        <is>
          <t>730 hours</t>
        </is>
      </c>
      <c r="F26" s="12" t="n">
        <v>8.1</v>
      </c>
      <c r="G26" s="38" t="n">
        <v>8.1</v>
      </c>
    </row>
    <row r="27">
      <c r="A27" s="11" t="inlineStr">
        <is>
          <t xml:space="preserve">  EIP Price</t>
        </is>
      </c>
      <c r="B27" s="11" t="inlineStr">
        <is>
          <t xml:space="preserve">1 </t>
        </is>
      </c>
      <c r="D27" s="11" t="inlineStr">
        <is>
          <t>ProductId: 00301-103161-0--0</t>
        </is>
      </c>
      <c r="E27" s="11" t="inlineStr">
        <is>
          <t>730 hours</t>
        </is>
      </c>
      <c r="F27" s="12" t="n">
        <v>3.65</v>
      </c>
      <c r="G27" s="38" t="n">
        <v>3.65</v>
      </c>
    </row>
    <row r="28" ht="40" customHeight="1">
      <c r="A28" s="7" t="inlineStr">
        <is>
          <t>Host Security Service 1</t>
        </is>
      </c>
      <c r="B28" s="7" t="inlineStr">
        <is>
          <t>LA-Santiago</t>
        </is>
      </c>
      <c r="C28" s="7" t="inlineStr">
        <is>
          <t xml:space="preserve">General AZ </t>
        </is>
      </c>
      <c r="D28" s="7" t="inlineStr">
        <is>
          <t>Monthly</t>
        </is>
      </c>
      <c r="E28" s="7" t="inlineStr">
        <is>
          <t>1 month,3 PCS</t>
        </is>
      </c>
      <c r="F28" s="8" t="n">
        <v>41.4</v>
      </c>
      <c r="G28" s="37" t="n">
        <v>41.4</v>
      </c>
    </row>
    <row r="29">
      <c r="A29" s="11" t="inlineStr">
        <is>
          <t xml:space="preserve">  Edition</t>
        </is>
      </c>
      <c r="B29" s="11" t="inlineStr">
        <is>
          <t>Premium</t>
        </is>
      </c>
      <c r="D29" s="11" t="inlineStr">
        <is>
          <t>ProductId: OFFI512984293311201286</t>
        </is>
      </c>
      <c r="E29" s="11" t="inlineStr">
        <is>
          <t>1 month,*3</t>
        </is>
      </c>
      <c r="F29" s="12" t="n">
        <v>41.4</v>
      </c>
      <c r="G29" s="38" t="n">
        <v>41.4</v>
      </c>
    </row>
    <row r="30" ht="40" customHeight="1">
      <c r="A30" s="7" t="inlineStr">
        <is>
          <t>Elastic Cloud Server 4</t>
        </is>
      </c>
      <c r="B30" s="7" t="inlineStr">
        <is>
          <t>LA-Santiago</t>
        </is>
      </c>
      <c r="C30" s="7" t="inlineStr">
        <is>
          <t xml:space="preserve">General AZ </t>
        </is>
      </c>
      <c r="D30" s="7" t="inlineStr">
        <is>
          <t>Pay-per-use</t>
        </is>
      </c>
      <c r="E30" s="7" t="inlineStr">
        <is>
          <t>730 hours,1 ECS</t>
        </is>
      </c>
      <c r="F30" s="8">
        <f>SUM(F31:F33)</f>
        <v/>
      </c>
      <c r="G30" s="37">
        <f>SUM(G31:G33)</f>
        <v/>
      </c>
    </row>
    <row r="31">
      <c r="A31" s="11" t="inlineStr">
        <is>
          <t xml:space="preserve">  Type</t>
        </is>
      </c>
      <c r="B31" s="11" t="inlineStr">
        <is>
          <t>x86 | General computing-basic | t6.xlarge.1 | 4 vCPUs | 4GB</t>
        </is>
      </c>
      <c r="D31" s="11" t="inlineStr">
        <is>
          <t>ProductId: OFFI583137173985546240</t>
        </is>
      </c>
      <c r="E31" s="11" t="inlineStr">
        <is>
          <t>730 hours,*1</t>
        </is>
      </c>
      <c r="F31" s="12" t="n">
        <v>58.4</v>
      </c>
      <c r="G31" s="38" t="n">
        <v>46.72</v>
      </c>
    </row>
    <row r="32">
      <c r="A32" s="11" t="inlineStr">
        <is>
          <t xml:space="preserve">  Image</t>
        </is>
      </c>
      <c r="B32" s="11" t="inlineStr">
        <is>
          <t>AlmaLinux | AlmaLinux 9.0 64bit</t>
        </is>
      </c>
      <c r="D32" s="11" t="n"/>
      <c r="E32" s="11" t="inlineStr">
        <is>
          <t>730 hours,*1</t>
        </is>
      </c>
      <c r="F32" s="12" t="n">
        <v>0</v>
      </c>
      <c r="G32" s="38" t="n">
        <v>0</v>
      </c>
    </row>
    <row r="33">
      <c r="A33" s="11" t="inlineStr">
        <is>
          <t xml:space="preserve">  System Disk</t>
        </is>
      </c>
      <c r="B33" s="11" t="inlineStr">
        <is>
          <t>General Purpose SSD | 40GB</t>
        </is>
      </c>
      <c r="D33" s="11" t="inlineStr">
        <is>
          <t>ProductId: OFFI479638699187482626</t>
        </is>
      </c>
      <c r="E33" s="11" t="inlineStr">
        <is>
          <t>730 hours,*1</t>
        </is>
      </c>
      <c r="F33" s="12" t="n">
        <v>3.796</v>
      </c>
      <c r="G33" s="38" t="n">
        <v>3.796</v>
      </c>
    </row>
    <row r="34" ht="40" customHeight="1">
      <c r="A34" s="15" t="inlineStr">
        <is>
          <t>Total Price</t>
        </is>
      </c>
      <c r="B34" s="39" t="n"/>
      <c r="C34" s="39" t="n"/>
      <c r="D34" s="39" t="n"/>
      <c r="E34" s="40" t="n"/>
      <c r="F34" s="16" t="n">
        <v>1566.07</v>
      </c>
      <c r="G34" s="37" t="n">
        <v>1566.07</v>
      </c>
    </row>
    <row r="35" ht="40" customHeight="1">
      <c r="A35" s="19" t="inlineStr">
        <is>
          <t>Total Price</t>
        </is>
      </c>
      <c r="B35" s="39" t="n"/>
      <c r="C35" s="39" t="n"/>
      <c r="D35" s="39" t="n"/>
      <c r="E35" s="40" t="n"/>
      <c r="F35" s="20">
        <f>SUM(F3:F34)/2</f>
        <v/>
      </c>
      <c r="G35" s="41">
        <f>SUM(G3:G34)/2</f>
        <v/>
      </c>
    </row>
    <row r="36">
      <c r="A36" s="23" t="inlineStr">
        <is>
          <t>The preceding price is for reference only and may vary from the final price in your bill</t>
        </is>
      </c>
    </row>
  </sheetData>
  <mergeCells count="23">
    <mergeCell ref="A34:E34"/>
    <mergeCell ref="B16:C16"/>
    <mergeCell ref="B7:C7"/>
    <mergeCell ref="A36:H36"/>
    <mergeCell ref="B31:C31"/>
    <mergeCell ref="B27:C27"/>
    <mergeCell ref="B18:C18"/>
    <mergeCell ref="B21:C21"/>
    <mergeCell ref="B11:C11"/>
    <mergeCell ref="B23:C23"/>
    <mergeCell ref="B14:C14"/>
    <mergeCell ref="B13:C13"/>
    <mergeCell ref="A1:G1"/>
    <mergeCell ref="B29:C29"/>
    <mergeCell ref="B9:C9"/>
    <mergeCell ref="B6:C6"/>
    <mergeCell ref="B24:C24"/>
    <mergeCell ref="A35:E35"/>
    <mergeCell ref="B33:C33"/>
    <mergeCell ref="B20:C20"/>
    <mergeCell ref="B32:C32"/>
    <mergeCell ref="B26:C26"/>
    <mergeCell ref="B4:C4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2024-11-06T16:37:44Z</dcterms:created>
  <dcterms:modified xsi:type="dcterms:W3CDTF">2024-11-06T16:37:55Z</dcterms:modified>
  <cp:lastModifiedBy>Unknown</cp:lastModifiedBy>
</cp:coreProperties>
</file>